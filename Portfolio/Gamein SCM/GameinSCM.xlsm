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N.T\Desktop\"/>
    </mc:Choice>
  </mc:AlternateContent>
  <bookViews>
    <workbookView xWindow="0" yWindow="0" windowWidth="23040" windowHeight="8820" tabRatio="627" activeTab="8"/>
  </bookViews>
  <sheets>
    <sheet name="Products" sheetId="1" r:id="rId1"/>
    <sheet name="Products' BOM" sheetId="5" r:id="rId2"/>
    <sheet name="Transportation" sheetId="2" r:id="rId3"/>
    <sheet name="Buildings" sheetId="3" r:id="rId4"/>
    <sheet name="Recycling" sheetId="6" r:id="rId5"/>
    <sheet name="Production Calc" sheetId="7" r:id="rId6"/>
    <sheet name="Shipping" sheetId="8" r:id="rId7"/>
    <sheet name="Inventory" sheetId="10" r:id="rId8"/>
    <sheet name="Cost" sheetId="9" r:id="rId9"/>
  </sheets>
  <definedNames>
    <definedName name="aluminium">Inventory!$B$5:$C$5</definedName>
    <definedName name="camera">'Production Calc'!$B$71:$N$71</definedName>
    <definedName name="chips">Inventory!$B$6:$C$6</definedName>
    <definedName name="cobalt">Inventory!$B$7:$C$7</definedName>
    <definedName name="copper">Inventory!$B$8:$C$8</definedName>
    <definedName name="displaywithkeypad">'Production Calc'!$B$68:$N$68</definedName>
    <definedName name="glass">Inventory!$B$9:$C$9</definedName>
    <definedName name="lithium">Inventory!$B$10:$C$10</definedName>
    <definedName name="microphone">Inventory!$B$11:$C$11</definedName>
    <definedName name="modem2g">'Production Calc'!$B$67:$N$67</definedName>
    <definedName name="modem3g">'Production Calc'!$B$72:$N$72</definedName>
    <definedName name="phonebattery">'Production Calc'!$B$69:$N$69</definedName>
    <definedName name="phoneframe">'Production Calc'!$B$73:$N$73</definedName>
    <definedName name="phoneframekeypad">'Production Calc'!$B$70:$N$70</definedName>
    <definedName name="plastic">Inventory!$B$12:$C$12</definedName>
    <definedName name="ports">Inventory!$B$13:$C$13</definedName>
    <definedName name="processors">Inventory!$B$14:$C$14</definedName>
    <definedName name="Product">Shipping!$H$2</definedName>
    <definedName name="Shipping_mode">Shipping!$G$2</definedName>
    <definedName name="silicon">Inventory!$B$15:$C$15</definedName>
    <definedName name="solver_adj" localSheetId="7" hidden="1">Inventory!#REF!</definedName>
    <definedName name="solver_eng" localSheetId="7" hidden="1">1</definedName>
    <definedName name="solver_neg" localSheetId="7" hidden="1">1</definedName>
    <definedName name="solver_num" localSheetId="7" hidden="1">0</definedName>
    <definedName name="solver_opt" localSheetId="7" hidden="1">Inventory!$U$32</definedName>
    <definedName name="solver_typ" localSheetId="7" hidden="1">3</definedName>
    <definedName name="solver_val" localSheetId="7" hidden="1">"OK"</definedName>
    <definedName name="solver_ver" localSheetId="7" hidden="1">3</definedName>
    <definedName name="Space">Shipping!$N$2</definedName>
    <definedName name="speaker">Inventory!$B$16:$C$16</definedName>
    <definedName name="State">Shipping!$F$2</definedName>
    <definedName name="touchdisplay">'Production Calc'!$B$74:$N$74</definedName>
    <definedName name="Unit">Shipping!$I$2</definedName>
    <definedName name="VibrationMotor">Inventory!$B$17:$C$17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9" l="1"/>
  <c r="AM32" i="10" l="1"/>
  <c r="AL32" i="10"/>
  <c r="AJ32" i="10"/>
  <c r="AI32" i="10"/>
  <c r="AH32" i="10"/>
  <c r="AG32" i="10"/>
  <c r="AF32" i="10"/>
  <c r="AD32" i="10"/>
  <c r="AC32" i="10"/>
  <c r="AB32" i="10"/>
  <c r="AM31" i="10"/>
  <c r="AL31" i="10"/>
  <c r="AK31" i="10"/>
  <c r="AJ31" i="10"/>
  <c r="AI31" i="10"/>
  <c r="AG31" i="10"/>
  <c r="AF31" i="10"/>
  <c r="AE31" i="10"/>
  <c r="AD31" i="10"/>
  <c r="AC31" i="10"/>
  <c r="AB31" i="10"/>
  <c r="AM30" i="10"/>
  <c r="AL30" i="10"/>
  <c r="AK30" i="10"/>
  <c r="AJ30" i="10"/>
  <c r="AI30" i="10"/>
  <c r="AG30" i="10"/>
  <c r="AF30" i="10"/>
  <c r="AE30" i="10"/>
  <c r="AC30" i="10"/>
  <c r="AB30" i="10"/>
  <c r="AM29" i="10"/>
  <c r="AL29" i="10"/>
  <c r="AK29" i="10"/>
  <c r="AJ29" i="10"/>
  <c r="AI29" i="10"/>
  <c r="AG29" i="10"/>
  <c r="AF29" i="10"/>
  <c r="AC29" i="10"/>
  <c r="AB29" i="10"/>
  <c r="AA29" i="10"/>
  <c r="AM28" i="10"/>
  <c r="AL28" i="10"/>
  <c r="AK28" i="10"/>
  <c r="AJ28" i="10"/>
  <c r="AI28" i="10"/>
  <c r="AG28" i="10"/>
  <c r="AF28" i="10"/>
  <c r="AE28" i="10"/>
  <c r="AD28" i="10"/>
  <c r="AC28" i="10"/>
  <c r="AB28" i="10"/>
  <c r="AM27" i="10"/>
  <c r="AL27" i="10"/>
  <c r="AK27" i="10"/>
  <c r="AJ27" i="10"/>
  <c r="AI27" i="10"/>
  <c r="AH27" i="10"/>
  <c r="AG27" i="10"/>
  <c r="AE27" i="10"/>
  <c r="AD27" i="10"/>
  <c r="AB27" i="10"/>
  <c r="AA27" i="10"/>
  <c r="AM26" i="10"/>
  <c r="AL26" i="10"/>
  <c r="AJ26" i="10"/>
  <c r="AI26" i="10"/>
  <c r="AH26" i="10"/>
  <c r="AG26" i="10"/>
  <c r="AF26" i="10"/>
  <c r="AD26" i="10"/>
  <c r="AC26" i="10"/>
  <c r="AB26" i="10"/>
  <c r="AM25" i="10"/>
  <c r="AL25" i="10"/>
  <c r="AK25" i="10"/>
  <c r="AJ25" i="10"/>
  <c r="AI25" i="10"/>
  <c r="AG25" i="10"/>
  <c r="AF25" i="10"/>
  <c r="AE25" i="10"/>
  <c r="AC25" i="10"/>
  <c r="AB25" i="10"/>
  <c r="AH29" i="10"/>
  <c r="AD25" i="10"/>
  <c r="AE26" i="10"/>
  <c r="AH31" i="10"/>
  <c r="AA28" i="10"/>
  <c r="AA25" i="10"/>
  <c r="AH30" i="10"/>
  <c r="AD30" i="10"/>
  <c r="AK26" i="10"/>
  <c r="AD29" i="10"/>
  <c r="AE32" i="10"/>
  <c r="AA26" i="10"/>
  <c r="AH25" i="10"/>
  <c r="AC27" i="10"/>
  <c r="AK32" i="10"/>
  <c r="AA32" i="10"/>
  <c r="AH28" i="10"/>
  <c r="AA31" i="10"/>
  <c r="AA30" i="10"/>
  <c r="AF27" i="10"/>
  <c r="AE29" i="10"/>
  <c r="AN30" i="10"/>
  <c r="AN28" i="10"/>
  <c r="AN27" i="10"/>
  <c r="AN26" i="10"/>
  <c r="AN25" i="10"/>
  <c r="AN29" i="10"/>
  <c r="AN32" i="10"/>
  <c r="AN31" i="10"/>
  <c r="AO28" i="10" l="1"/>
  <c r="B28" i="10" s="1"/>
  <c r="AO25" i="10"/>
  <c r="B25" i="10" s="1"/>
  <c r="AO26" i="10"/>
  <c r="B26" i="10" s="1"/>
  <c r="AO27" i="10"/>
  <c r="B27" i="10" s="1"/>
  <c r="AO30" i="10"/>
  <c r="B30" i="10" s="1"/>
  <c r="AO31" i="10"/>
  <c r="B31" i="10" s="1"/>
  <c r="AO29" i="10"/>
  <c r="B29" i="10" s="1"/>
  <c r="AO32" i="10"/>
  <c r="B32" i="10" s="1"/>
  <c r="E25" i="10"/>
  <c r="E26" i="10"/>
  <c r="E27" i="10"/>
  <c r="E28" i="10"/>
  <c r="E29" i="10"/>
  <c r="E30" i="10"/>
  <c r="E31" i="10"/>
  <c r="E32" i="10"/>
  <c r="D32" i="10" l="1"/>
  <c r="D26" i="10"/>
  <c r="D31" i="10"/>
  <c r="D30" i="10"/>
  <c r="D25" i="10"/>
  <c r="D29" i="10"/>
  <c r="D27" i="10"/>
  <c r="D28" i="10"/>
  <c r="H32" i="10"/>
  <c r="M32" i="10"/>
  <c r="N32" i="10"/>
  <c r="P32" i="10"/>
  <c r="O32" i="10"/>
  <c r="I32" i="10"/>
  <c r="Q32" i="10"/>
  <c r="J32" i="10"/>
  <c r="L32" i="10"/>
  <c r="R32" i="10"/>
  <c r="K32" i="10"/>
  <c r="S32" i="10"/>
  <c r="T32" i="10"/>
  <c r="H29" i="10"/>
  <c r="I29" i="10"/>
  <c r="Q29" i="10"/>
  <c r="J29" i="10"/>
  <c r="R29" i="10"/>
  <c r="K29" i="10"/>
  <c r="S29" i="10"/>
  <c r="L29" i="10"/>
  <c r="T29" i="10"/>
  <c r="M29" i="10"/>
  <c r="N29" i="10"/>
  <c r="O29" i="10"/>
  <c r="P29" i="10"/>
  <c r="H27" i="10"/>
  <c r="I27" i="10"/>
  <c r="Q27" i="10"/>
  <c r="J27" i="10"/>
  <c r="R27" i="10"/>
  <c r="K27" i="10"/>
  <c r="S27" i="10"/>
  <c r="L27" i="10"/>
  <c r="T27" i="10"/>
  <c r="M27" i="10"/>
  <c r="N27" i="10"/>
  <c r="O27" i="10"/>
  <c r="P27" i="10"/>
  <c r="H25" i="10"/>
  <c r="I25" i="10"/>
  <c r="Q25" i="10"/>
  <c r="J25" i="10"/>
  <c r="R25" i="10"/>
  <c r="K25" i="10"/>
  <c r="S25" i="10"/>
  <c r="L25" i="10"/>
  <c r="T25" i="10"/>
  <c r="M25" i="10"/>
  <c r="N25" i="10"/>
  <c r="O25" i="10"/>
  <c r="P25" i="10"/>
  <c r="H28" i="10"/>
  <c r="M28" i="10"/>
  <c r="N28" i="10"/>
  <c r="O28" i="10"/>
  <c r="P28" i="10"/>
  <c r="I28" i="10"/>
  <c r="Q28" i="10"/>
  <c r="J28" i="10"/>
  <c r="R28" i="10"/>
  <c r="K28" i="10"/>
  <c r="S28" i="10"/>
  <c r="L28" i="10"/>
  <c r="T28" i="10"/>
  <c r="H31" i="10"/>
  <c r="I31" i="10"/>
  <c r="Q31" i="10"/>
  <c r="R31" i="10"/>
  <c r="T31" i="10"/>
  <c r="J31" i="10"/>
  <c r="S31" i="10"/>
  <c r="K31" i="10"/>
  <c r="L31" i="10"/>
  <c r="M31" i="10"/>
  <c r="N31" i="10"/>
  <c r="P31" i="10"/>
  <c r="O31" i="10"/>
  <c r="H30" i="10"/>
  <c r="M30" i="10"/>
  <c r="N30" i="10"/>
  <c r="O30" i="10"/>
  <c r="P30" i="10"/>
  <c r="I30" i="10"/>
  <c r="Q30" i="10"/>
  <c r="R30" i="10"/>
  <c r="L30" i="10"/>
  <c r="J30" i="10"/>
  <c r="K30" i="10"/>
  <c r="S30" i="10"/>
  <c r="T30" i="10"/>
  <c r="H26" i="10"/>
  <c r="M26" i="10"/>
  <c r="N26" i="10"/>
  <c r="O26" i="10"/>
  <c r="P26" i="10"/>
  <c r="I26" i="10"/>
  <c r="Q26" i="10"/>
  <c r="J26" i="10"/>
  <c r="R26" i="10"/>
  <c r="K26" i="10"/>
  <c r="S26" i="10"/>
  <c r="L26" i="10"/>
  <c r="T26" i="10"/>
  <c r="D35" i="10"/>
  <c r="X26" i="10"/>
  <c r="X28" i="10"/>
  <c r="X31" i="10"/>
  <c r="X30" i="10"/>
  <c r="X29" i="10"/>
  <c r="X25" i="10"/>
  <c r="X32" i="10"/>
  <c r="X27" i="10"/>
  <c r="U27" i="10"/>
  <c r="U30" i="10"/>
  <c r="U25" i="10"/>
  <c r="U32" i="10"/>
  <c r="U29" i="10"/>
  <c r="U31" i="10"/>
  <c r="U28" i="10"/>
  <c r="U26" i="10"/>
  <c r="N2" i="8" l="1"/>
  <c r="C32" i="10" l="1"/>
  <c r="C25" i="10"/>
  <c r="C26" i="10"/>
  <c r="C29" i="10"/>
  <c r="C31" i="10"/>
  <c r="C27" i="10"/>
  <c r="C30" i="10"/>
  <c r="C28" i="10"/>
  <c r="C54" i="10"/>
  <c r="C55" i="10"/>
  <c r="C56" i="10"/>
  <c r="C57" i="10"/>
  <c r="C58" i="10"/>
  <c r="C59" i="10"/>
  <c r="C52" i="10"/>
  <c r="C53" i="10"/>
  <c r="C7" i="10"/>
  <c r="C15" i="10"/>
  <c r="C16" i="10"/>
  <c r="C9" i="10"/>
  <c r="C17" i="10"/>
  <c r="C10" i="10"/>
  <c r="C11" i="10"/>
  <c r="C12" i="10"/>
  <c r="C13" i="10"/>
  <c r="C6" i="10"/>
  <c r="C14" i="10"/>
  <c r="C8" i="10"/>
  <c r="C5" i="10"/>
  <c r="R2" i="7"/>
  <c r="C61" i="10" l="1"/>
  <c r="C62" i="10" s="1"/>
  <c r="M2" i="8"/>
  <c r="C55" i="7" l="1"/>
  <c r="D55" i="7"/>
  <c r="E55" i="7"/>
  <c r="G55" i="7"/>
  <c r="H55" i="7"/>
  <c r="I55" i="7"/>
  <c r="J55" i="7"/>
  <c r="K55" i="7"/>
  <c r="M55" i="7"/>
  <c r="N55" i="7"/>
  <c r="B56" i="7"/>
  <c r="C56" i="7"/>
  <c r="E56" i="7"/>
  <c r="F56" i="7"/>
  <c r="H56" i="7"/>
  <c r="I56" i="7"/>
  <c r="J56" i="7"/>
  <c r="K56" i="7"/>
  <c r="L56" i="7"/>
  <c r="M56" i="7"/>
  <c r="N56" i="7"/>
  <c r="C57" i="7"/>
  <c r="D57" i="7"/>
  <c r="E57" i="7"/>
  <c r="F57" i="7"/>
  <c r="G57" i="7"/>
  <c r="H57" i="7"/>
  <c r="J57" i="7"/>
  <c r="K57" i="7"/>
  <c r="L57" i="7"/>
  <c r="M57" i="7"/>
  <c r="N57" i="7"/>
  <c r="B58" i="7"/>
  <c r="C58" i="7"/>
  <c r="D58" i="7"/>
  <c r="G58" i="7"/>
  <c r="H58" i="7"/>
  <c r="J58" i="7"/>
  <c r="K58" i="7"/>
  <c r="L58" i="7"/>
  <c r="M58" i="7"/>
  <c r="N58" i="7"/>
  <c r="C59" i="7"/>
  <c r="D59" i="7"/>
  <c r="F59" i="7"/>
  <c r="G59" i="7"/>
  <c r="H59" i="7"/>
  <c r="J59" i="7"/>
  <c r="K59" i="7"/>
  <c r="L59" i="7"/>
  <c r="M59" i="7"/>
  <c r="N59" i="7"/>
  <c r="C60" i="7"/>
  <c r="D60" i="7"/>
  <c r="E60" i="7"/>
  <c r="F60" i="7"/>
  <c r="G60" i="7"/>
  <c r="H60" i="7"/>
  <c r="J60" i="7"/>
  <c r="K60" i="7"/>
  <c r="L60" i="7"/>
  <c r="M60" i="7"/>
  <c r="N60" i="7"/>
  <c r="C61" i="7"/>
  <c r="D61" i="7"/>
  <c r="E61" i="7"/>
  <c r="G61" i="7"/>
  <c r="H61" i="7"/>
  <c r="I61" i="7"/>
  <c r="J61" i="7"/>
  <c r="K61" i="7"/>
  <c r="M61" i="7"/>
  <c r="N61" i="7"/>
  <c r="C54" i="7"/>
  <c r="D54" i="7"/>
  <c r="F54" i="7"/>
  <c r="G54" i="7"/>
  <c r="H54" i="7"/>
  <c r="J54" i="7"/>
  <c r="K54" i="7"/>
  <c r="L54" i="7"/>
  <c r="M54" i="7"/>
  <c r="N54" i="7"/>
  <c r="C36" i="7"/>
  <c r="D36" i="7"/>
  <c r="E36" i="7"/>
  <c r="F36" i="7"/>
  <c r="C37" i="7"/>
  <c r="D37" i="7"/>
  <c r="E37" i="7"/>
  <c r="F37" i="7"/>
  <c r="G37" i="7"/>
  <c r="H37" i="7"/>
  <c r="I37" i="7"/>
  <c r="B38" i="7"/>
  <c r="D38" i="7"/>
  <c r="F38" i="7"/>
  <c r="G38" i="7"/>
  <c r="H38" i="7"/>
  <c r="I38" i="7"/>
  <c r="B39" i="7"/>
  <c r="C39" i="7"/>
  <c r="D39" i="7"/>
  <c r="E39" i="7"/>
  <c r="F39" i="7"/>
  <c r="G39" i="7"/>
  <c r="I39" i="7"/>
  <c r="B40" i="7"/>
  <c r="F40" i="7"/>
  <c r="G40" i="7"/>
  <c r="H40" i="7"/>
  <c r="I40" i="7"/>
  <c r="B41" i="7"/>
  <c r="D41" i="7"/>
  <c r="E41" i="7"/>
  <c r="G41" i="7"/>
  <c r="H41" i="7"/>
  <c r="I41" i="7"/>
  <c r="C42" i="7"/>
  <c r="D42" i="7"/>
  <c r="E42" i="7"/>
  <c r="F42" i="7"/>
  <c r="G42" i="7"/>
  <c r="I42" i="7"/>
  <c r="B43" i="7"/>
  <c r="C43" i="7"/>
  <c r="F43" i="7"/>
  <c r="G43" i="7"/>
  <c r="H43" i="7"/>
  <c r="I43" i="7"/>
  <c r="B44" i="7"/>
  <c r="C44" i="7"/>
  <c r="D44" i="7"/>
  <c r="F44" i="7"/>
  <c r="H44" i="7"/>
  <c r="B45" i="7"/>
  <c r="C45" i="7"/>
  <c r="D45" i="7"/>
  <c r="E45" i="7"/>
  <c r="G45" i="7"/>
  <c r="H45" i="7"/>
  <c r="C46" i="7"/>
  <c r="D46" i="7"/>
  <c r="E46" i="7"/>
  <c r="F46" i="7"/>
  <c r="H46" i="7"/>
  <c r="I46" i="7"/>
  <c r="B47" i="7"/>
  <c r="D47" i="7"/>
  <c r="E47" i="7"/>
  <c r="F47" i="7"/>
  <c r="G47" i="7"/>
  <c r="H47" i="7"/>
  <c r="C35" i="7"/>
  <c r="F35" i="7"/>
  <c r="G35" i="7"/>
  <c r="H35" i="7"/>
  <c r="I35" i="7"/>
  <c r="B35" i="7"/>
  <c r="A15" i="6" l="1"/>
  <c r="A13" i="6"/>
  <c r="A11" i="6"/>
  <c r="A9" i="6"/>
  <c r="C137" i="7" l="1"/>
  <c r="B137" i="7"/>
  <c r="C136" i="7"/>
  <c r="B136" i="7"/>
  <c r="C135" i="7"/>
  <c r="B135" i="7"/>
  <c r="C134" i="7"/>
  <c r="B134" i="7"/>
  <c r="C133" i="7"/>
  <c r="B133" i="7"/>
  <c r="C132" i="7"/>
  <c r="B132" i="7"/>
  <c r="C131" i="7"/>
  <c r="B131" i="7"/>
  <c r="C130" i="7"/>
  <c r="B130" i="7"/>
  <c r="K117" i="7"/>
  <c r="D130" i="7" s="1"/>
  <c r="K118" i="7"/>
  <c r="D131" i="7" s="1"/>
  <c r="K119" i="7"/>
  <c r="D132" i="7" s="1"/>
  <c r="K120" i="7"/>
  <c r="D133" i="7" s="1"/>
  <c r="K121" i="7"/>
  <c r="D134" i="7" s="1"/>
  <c r="K122" i="7"/>
  <c r="K123" i="7"/>
  <c r="D136" i="7" s="1"/>
  <c r="K124" i="7"/>
  <c r="D137" i="7" s="1"/>
  <c r="D135" i="7" l="1"/>
  <c r="L2" i="8"/>
  <c r="I2" i="8" s="1"/>
  <c r="S2" i="7"/>
  <c r="P2" i="7"/>
  <c r="O1" i="7"/>
  <c r="B118" i="7"/>
  <c r="C118" i="7"/>
  <c r="B119" i="7"/>
  <c r="C119" i="7"/>
  <c r="B120" i="7"/>
  <c r="C120" i="7"/>
  <c r="B121" i="7"/>
  <c r="C121" i="7"/>
  <c r="B122" i="7"/>
  <c r="C122" i="7"/>
  <c r="B123" i="7"/>
  <c r="C123" i="7"/>
  <c r="B124" i="7"/>
  <c r="C124" i="7"/>
  <c r="C117" i="7"/>
  <c r="B117" i="7"/>
  <c r="B107" i="7"/>
  <c r="C107" i="7"/>
  <c r="B108" i="7"/>
  <c r="C108" i="7"/>
  <c r="B109" i="7"/>
  <c r="C109" i="7"/>
  <c r="B110" i="7"/>
  <c r="C110" i="7"/>
  <c r="B111" i="7"/>
  <c r="C111" i="7"/>
  <c r="B112" i="7"/>
  <c r="C112" i="7"/>
  <c r="B113" i="7"/>
  <c r="C113" i="7"/>
  <c r="C106" i="7"/>
  <c r="B106" i="7"/>
  <c r="E12" i="8" l="1"/>
  <c r="E14" i="8" s="1"/>
  <c r="Q2" i="7"/>
  <c r="B36" i="7"/>
  <c r="B37" i="7"/>
  <c r="K37" i="7" s="1"/>
  <c r="B42" i="7"/>
  <c r="B46" i="7"/>
  <c r="O3" i="7"/>
  <c r="O2" i="7"/>
  <c r="B68" i="7" l="1"/>
  <c r="B81" i="7" s="1"/>
  <c r="J68" i="7"/>
  <c r="J81" i="7" s="1"/>
  <c r="E69" i="7"/>
  <c r="F95" i="7" s="1"/>
  <c r="M69" i="7"/>
  <c r="M82" i="7" s="1"/>
  <c r="H70" i="7"/>
  <c r="I96" i="7" s="1"/>
  <c r="C71" i="7"/>
  <c r="C84" i="7" s="1"/>
  <c r="K71" i="7"/>
  <c r="L97" i="7" s="1"/>
  <c r="F72" i="7"/>
  <c r="F85" i="7" s="1"/>
  <c r="N72" i="7"/>
  <c r="N85" i="7" s="1"/>
  <c r="I73" i="7"/>
  <c r="I86" i="7" s="1"/>
  <c r="D74" i="7"/>
  <c r="D87" i="7" s="1"/>
  <c r="L74" i="7"/>
  <c r="M100" i="7" s="1"/>
  <c r="C68" i="7"/>
  <c r="C81" i="7" s="1"/>
  <c r="K68" i="7"/>
  <c r="L94" i="7" s="1"/>
  <c r="F69" i="7"/>
  <c r="G95" i="7" s="1"/>
  <c r="N69" i="7"/>
  <c r="O95" i="7" s="1"/>
  <c r="I70" i="7"/>
  <c r="I83" i="7" s="1"/>
  <c r="D71" i="7"/>
  <c r="E97" i="7" s="1"/>
  <c r="L71" i="7"/>
  <c r="M97" i="7" s="1"/>
  <c r="G72" i="7"/>
  <c r="G85" i="7" s="1"/>
  <c r="B73" i="7"/>
  <c r="B86" i="7" s="1"/>
  <c r="J73" i="7"/>
  <c r="J86" i="7" s="1"/>
  <c r="E74" i="7"/>
  <c r="E87" i="7" s="1"/>
  <c r="M74" i="7"/>
  <c r="N100" i="7" s="1"/>
  <c r="D68" i="7"/>
  <c r="D81" i="7" s="1"/>
  <c r="L68" i="7"/>
  <c r="M94" i="7" s="1"/>
  <c r="G69" i="7"/>
  <c r="H95" i="7" s="1"/>
  <c r="B70" i="7"/>
  <c r="B83" i="7" s="1"/>
  <c r="J70" i="7"/>
  <c r="K96" i="7" s="1"/>
  <c r="E71" i="7"/>
  <c r="E84" i="7" s="1"/>
  <c r="M71" i="7"/>
  <c r="N97" i="7" s="1"/>
  <c r="H72" i="7"/>
  <c r="H85" i="7" s="1"/>
  <c r="C73" i="7"/>
  <c r="C86" i="7" s="1"/>
  <c r="K73" i="7"/>
  <c r="K86" i="7" s="1"/>
  <c r="F74" i="7"/>
  <c r="G100" i="7" s="1"/>
  <c r="N74" i="7"/>
  <c r="N87" i="7" s="1"/>
  <c r="J67" i="7"/>
  <c r="K93" i="7" s="1"/>
  <c r="N71" i="7"/>
  <c r="O97" i="7" s="1"/>
  <c r="D73" i="7"/>
  <c r="E99" i="7" s="1"/>
  <c r="G74" i="7"/>
  <c r="G87" i="7" s="1"/>
  <c r="C67" i="7"/>
  <c r="C80" i="7" s="1"/>
  <c r="N73" i="7"/>
  <c r="N86" i="7" s="1"/>
  <c r="E72" i="7"/>
  <c r="F98" i="7" s="1"/>
  <c r="G67" i="7"/>
  <c r="G80" i="7" s="1"/>
  <c r="E68" i="7"/>
  <c r="F94" i="7" s="1"/>
  <c r="M68" i="7"/>
  <c r="M81" i="7" s="1"/>
  <c r="H69" i="7"/>
  <c r="H82" i="7" s="1"/>
  <c r="C70" i="7"/>
  <c r="K70" i="7"/>
  <c r="K83" i="7" s="1"/>
  <c r="F71" i="7"/>
  <c r="F84" i="7" s="1"/>
  <c r="I72" i="7"/>
  <c r="I85" i="7" s="1"/>
  <c r="L73" i="7"/>
  <c r="L86" i="7" s="1"/>
  <c r="K67" i="7"/>
  <c r="L93" i="7" s="1"/>
  <c r="E67" i="7"/>
  <c r="E80" i="7" s="1"/>
  <c r="M72" i="7"/>
  <c r="M85" i="7" s="1"/>
  <c r="F68" i="7"/>
  <c r="G94" i="7" s="1"/>
  <c r="N68" i="7"/>
  <c r="N81" i="7" s="1"/>
  <c r="I69" i="7"/>
  <c r="I82" i="7" s="1"/>
  <c r="D70" i="7"/>
  <c r="D83" i="7" s="1"/>
  <c r="L70" i="7"/>
  <c r="M96" i="7" s="1"/>
  <c r="G71" i="7"/>
  <c r="H97" i="7" s="1"/>
  <c r="B72" i="7"/>
  <c r="B85" i="7" s="1"/>
  <c r="J72" i="7"/>
  <c r="J85" i="7" s="1"/>
  <c r="E73" i="7"/>
  <c r="F99" i="7" s="1"/>
  <c r="M73" i="7"/>
  <c r="N99" i="7" s="1"/>
  <c r="H74" i="7"/>
  <c r="I100" i="7" s="1"/>
  <c r="D67" i="7"/>
  <c r="D80" i="7" s="1"/>
  <c r="L67" i="7"/>
  <c r="M93" i="7" s="1"/>
  <c r="M67" i="7"/>
  <c r="M80" i="7" s="1"/>
  <c r="K74" i="7"/>
  <c r="L100" i="7" s="1"/>
  <c r="G68" i="7"/>
  <c r="G81" i="7" s="1"/>
  <c r="B69" i="7"/>
  <c r="B82" i="7" s="1"/>
  <c r="J69" i="7"/>
  <c r="J82" i="7" s="1"/>
  <c r="E70" i="7"/>
  <c r="E83" i="7" s="1"/>
  <c r="M70" i="7"/>
  <c r="N96" i="7" s="1"/>
  <c r="H71" i="7"/>
  <c r="H84" i="7" s="1"/>
  <c r="C72" i="7"/>
  <c r="C85" i="7" s="1"/>
  <c r="K72" i="7"/>
  <c r="K85" i="7" s="1"/>
  <c r="F73" i="7"/>
  <c r="G99" i="7" s="1"/>
  <c r="I74" i="7"/>
  <c r="J100" i="7" s="1"/>
  <c r="H73" i="7"/>
  <c r="I99" i="7" s="1"/>
  <c r="I67" i="7"/>
  <c r="J93" i="7" s="1"/>
  <c r="H68" i="7"/>
  <c r="I94" i="7" s="1"/>
  <c r="C69" i="7"/>
  <c r="D95" i="7" s="1"/>
  <c r="K69" i="7"/>
  <c r="K82" i="7" s="1"/>
  <c r="F70" i="7"/>
  <c r="G96" i="7" s="1"/>
  <c r="N70" i="7"/>
  <c r="O96" i="7" s="1"/>
  <c r="I71" i="7"/>
  <c r="I84" i="7" s="1"/>
  <c r="D72" i="7"/>
  <c r="E98" i="7" s="1"/>
  <c r="L72" i="7"/>
  <c r="M98" i="7" s="1"/>
  <c r="G73" i="7"/>
  <c r="G86" i="7" s="1"/>
  <c r="B74" i="7"/>
  <c r="J74" i="7"/>
  <c r="K100" i="7" s="1"/>
  <c r="F67" i="7"/>
  <c r="F80" i="7" s="1"/>
  <c r="N67" i="7"/>
  <c r="O93" i="7" s="1"/>
  <c r="I68" i="7"/>
  <c r="J94" i="7" s="1"/>
  <c r="D69" i="7"/>
  <c r="D82" i="7" s="1"/>
  <c r="L69" i="7"/>
  <c r="L82" i="7" s="1"/>
  <c r="G70" i="7"/>
  <c r="H96" i="7" s="1"/>
  <c r="B71" i="7"/>
  <c r="B84" i="7" s="1"/>
  <c r="J71" i="7"/>
  <c r="K97" i="7" s="1"/>
  <c r="C74" i="7"/>
  <c r="C87" i="7" s="1"/>
  <c r="H67" i="7"/>
  <c r="H80" i="7" s="1"/>
  <c r="D108" i="7"/>
  <c r="D109" i="7"/>
  <c r="D113" i="7"/>
  <c r="B67" i="7"/>
  <c r="C93" i="7" s="1"/>
  <c r="D111" i="7"/>
  <c r="D110" i="7"/>
  <c r="D112" i="7"/>
  <c r="D106" i="7"/>
  <c r="D107" i="7"/>
  <c r="F61" i="7"/>
  <c r="F58" i="7"/>
  <c r="F55" i="7"/>
  <c r="J37" i="7"/>
  <c r="D3" i="8"/>
  <c r="B3" i="8"/>
  <c r="C3" i="8"/>
  <c r="O99" i="7" l="1"/>
  <c r="C96" i="7"/>
  <c r="E85" i="7"/>
  <c r="G83" i="7"/>
  <c r="I98" i="7"/>
  <c r="C99" i="7"/>
  <c r="F83" i="7"/>
  <c r="D96" i="7"/>
  <c r="I80" i="7"/>
  <c r="K98" i="7"/>
  <c r="M95" i="7"/>
  <c r="C4" i="8"/>
  <c r="D4" i="8"/>
  <c r="B87" i="7"/>
  <c r="N98" i="7"/>
  <c r="L84" i="7"/>
  <c r="M83" i="7"/>
  <c r="B4" i="8"/>
  <c r="D97" i="7"/>
  <c r="D86" i="7"/>
  <c r="I81" i="7"/>
  <c r="E93" i="7"/>
  <c r="G93" i="7"/>
  <c r="N93" i="7"/>
  <c r="L95" i="7"/>
  <c r="E96" i="7"/>
  <c r="K81" i="7"/>
  <c r="K95" i="7"/>
  <c r="K94" i="7"/>
  <c r="F97" i="7"/>
  <c r="F100" i="7"/>
  <c r="I95" i="7"/>
  <c r="M99" i="7"/>
  <c r="L96" i="7"/>
  <c r="M87" i="7"/>
  <c r="H87" i="7"/>
  <c r="M84" i="7"/>
  <c r="F96" i="7"/>
  <c r="I87" i="7"/>
  <c r="L99" i="7"/>
  <c r="D99" i="7"/>
  <c r="C97" i="7"/>
  <c r="D93" i="7"/>
  <c r="D84" i="7"/>
  <c r="H93" i="7"/>
  <c r="K80" i="7"/>
  <c r="E95" i="7"/>
  <c r="C95" i="7"/>
  <c r="H99" i="7"/>
  <c r="B13" i="8"/>
  <c r="F93" i="7"/>
  <c r="H81" i="7"/>
  <c r="E100" i="7"/>
  <c r="C94" i="7"/>
  <c r="O100" i="7"/>
  <c r="K84" i="7"/>
  <c r="H94" i="7"/>
  <c r="L85" i="7"/>
  <c r="J97" i="7"/>
  <c r="D94" i="7"/>
  <c r="G98" i="7"/>
  <c r="E82" i="7"/>
  <c r="O98" i="7"/>
  <c r="C83" i="7"/>
  <c r="J87" i="7"/>
  <c r="D98" i="7"/>
  <c r="H83" i="7"/>
  <c r="N83" i="7"/>
  <c r="I93" i="7"/>
  <c r="H98" i="7"/>
  <c r="L81" i="7"/>
  <c r="L98" i="7"/>
  <c r="E86" i="7"/>
  <c r="E81" i="7"/>
  <c r="N94" i="7"/>
  <c r="F81" i="7"/>
  <c r="C82" i="7"/>
  <c r="D100" i="7"/>
  <c r="K87" i="7"/>
  <c r="L83" i="7"/>
  <c r="J99" i="7"/>
  <c r="L80" i="7"/>
  <c r="H100" i="7"/>
  <c r="N95" i="7"/>
  <c r="J83" i="7"/>
  <c r="F87" i="7"/>
  <c r="B80" i="7"/>
  <c r="K99" i="7"/>
  <c r="E94" i="7"/>
  <c r="I97" i="7"/>
  <c r="L87" i="7"/>
  <c r="M86" i="7"/>
  <c r="J80" i="7"/>
  <c r="G84" i="7"/>
  <c r="J84" i="7"/>
  <c r="C100" i="7"/>
  <c r="N82" i="7"/>
  <c r="F82" i="7"/>
  <c r="G82" i="7"/>
  <c r="C98" i="7"/>
  <c r="J98" i="7"/>
  <c r="N80" i="7"/>
  <c r="O94" i="7"/>
  <c r="J95" i="7"/>
  <c r="D85" i="7"/>
  <c r="G97" i="7"/>
  <c r="F86" i="7"/>
  <c r="H86" i="7"/>
  <c r="J96" i="7"/>
  <c r="N84" i="7"/>
  <c r="I45" i="7" l="1"/>
  <c r="C40" i="7"/>
  <c r="D5" i="8"/>
  <c r="F45" i="7"/>
  <c r="B5" i="8"/>
  <c r="H39" i="7"/>
  <c r="K39" i="7" s="1"/>
  <c r="J39" i="7" s="1"/>
  <c r="G46" i="7"/>
  <c r="K46" i="7" s="1"/>
  <c r="J46" i="7" s="1"/>
  <c r="G36" i="7"/>
  <c r="C5" i="8"/>
  <c r="C38" i="7"/>
  <c r="D43" i="7"/>
  <c r="D35" i="7"/>
  <c r="F41" i="7"/>
  <c r="H36" i="7"/>
  <c r="E35" i="7"/>
  <c r="I44" i="7"/>
  <c r="P96" i="7"/>
  <c r="E133" i="7" s="1"/>
  <c r="G133" i="7" s="1"/>
  <c r="E38" i="7"/>
  <c r="C41" i="7"/>
  <c r="I47" i="7"/>
  <c r="C47" i="7"/>
  <c r="I36" i="7"/>
  <c r="H42" i="7"/>
  <c r="K42" i="7" s="1"/>
  <c r="J42" i="7" s="1"/>
  <c r="P93" i="7"/>
  <c r="G106" i="7" s="1"/>
  <c r="O85" i="7"/>
  <c r="J135" i="7" s="1"/>
  <c r="K135" i="7" s="1"/>
  <c r="P95" i="7"/>
  <c r="G108" i="7" s="1"/>
  <c r="D40" i="7"/>
  <c r="E40" i="7"/>
  <c r="P97" i="7"/>
  <c r="E134" i="7" s="1"/>
  <c r="G134" i="7" s="1"/>
  <c r="P94" i="7"/>
  <c r="E131" i="7" s="1"/>
  <c r="G131" i="7" s="1"/>
  <c r="O83" i="7"/>
  <c r="J133" i="7" s="1"/>
  <c r="K133" i="7" s="1"/>
  <c r="P100" i="7"/>
  <c r="E137" i="7" s="1"/>
  <c r="F137" i="7" s="1"/>
  <c r="H137" i="7" s="1"/>
  <c r="O81" i="7"/>
  <c r="J131" i="7" s="1"/>
  <c r="K131" i="7" s="1"/>
  <c r="P99" i="7"/>
  <c r="G112" i="7" s="1"/>
  <c r="O87" i="7"/>
  <c r="J137" i="7" s="1"/>
  <c r="K137" i="7" s="1"/>
  <c r="E44" i="7"/>
  <c r="E43" i="7"/>
  <c r="P98" i="7"/>
  <c r="G111" i="7" s="1"/>
  <c r="G44" i="7"/>
  <c r="O84" i="7"/>
  <c r="J134" i="7" s="1"/>
  <c r="K134" i="7" s="1"/>
  <c r="O82" i="7"/>
  <c r="J132" i="7" s="1"/>
  <c r="K132" i="7" s="1"/>
  <c r="O86" i="7"/>
  <c r="J136" i="7" s="1"/>
  <c r="K136" i="7" s="1"/>
  <c r="O80" i="7"/>
  <c r="J130" i="7" s="1"/>
  <c r="K130" i="7" s="1"/>
  <c r="K45" i="7" l="1"/>
  <c r="I59" i="7" s="1"/>
  <c r="K38" i="7"/>
  <c r="J38" i="7" s="1"/>
  <c r="K43" i="7"/>
  <c r="L55" i="7" s="1"/>
  <c r="B12" i="8"/>
  <c r="K36" i="7"/>
  <c r="J36" i="7" s="1"/>
  <c r="K35" i="7"/>
  <c r="E59" i="7" s="1"/>
  <c r="K41" i="7"/>
  <c r="G56" i="7" s="1"/>
  <c r="K47" i="7"/>
  <c r="J47" i="7" s="1"/>
  <c r="E130" i="7"/>
  <c r="G130" i="7" s="1"/>
  <c r="G109" i="7"/>
  <c r="E135" i="7"/>
  <c r="G135" i="7" s="1"/>
  <c r="E132" i="7"/>
  <c r="F132" i="7" s="1"/>
  <c r="H132" i="7" s="1"/>
  <c r="G107" i="7"/>
  <c r="G110" i="7"/>
  <c r="K40" i="7"/>
  <c r="B55" i="7" s="1"/>
  <c r="G113" i="7"/>
  <c r="E136" i="7"/>
  <c r="F136" i="7" s="1"/>
  <c r="H136" i="7" s="1"/>
  <c r="E11" i="8"/>
  <c r="E13" i="8" s="1"/>
  <c r="K44" i="7"/>
  <c r="J44" i="7" s="1"/>
  <c r="F134" i="7"/>
  <c r="H134" i="7" s="1"/>
  <c r="E119" i="7"/>
  <c r="G119" i="7" s="1"/>
  <c r="F133" i="7"/>
  <c r="H133" i="7" s="1"/>
  <c r="F131" i="7"/>
  <c r="H131" i="7" s="1"/>
  <c r="G137" i="7"/>
  <c r="I137" i="7" s="1"/>
  <c r="I60" i="7"/>
  <c r="D119" i="7"/>
  <c r="F119" i="7" s="1"/>
  <c r="I58" i="7" l="1"/>
  <c r="I57" i="7"/>
  <c r="I54" i="7"/>
  <c r="J45" i="7"/>
  <c r="J43" i="7"/>
  <c r="L61" i="7"/>
  <c r="D56" i="7"/>
  <c r="O56" i="7" s="1"/>
  <c r="E58" i="7"/>
  <c r="J35" i="7"/>
  <c r="E54" i="7"/>
  <c r="J41" i="7"/>
  <c r="B54" i="7"/>
  <c r="B61" i="7"/>
  <c r="J40" i="7"/>
  <c r="F130" i="7"/>
  <c r="H130" i="7" s="1"/>
  <c r="G132" i="7"/>
  <c r="I132" i="7" s="1"/>
  <c r="B57" i="7"/>
  <c r="B60" i="7"/>
  <c r="O60" i="7" s="1"/>
  <c r="E123" i="7" s="1"/>
  <c r="G123" i="7" s="1"/>
  <c r="B59" i="7"/>
  <c r="O59" i="7" s="1"/>
  <c r="E122" i="7" s="1"/>
  <c r="G122" i="7" s="1"/>
  <c r="E121" i="7"/>
  <c r="G121" i="7" s="1"/>
  <c r="F135" i="7"/>
  <c r="H135" i="7" s="1"/>
  <c r="G136" i="7"/>
  <c r="I136" i="7" s="1"/>
  <c r="I134" i="7"/>
  <c r="I133" i="7"/>
  <c r="I131" i="7"/>
  <c r="O55" i="7"/>
  <c r="D118" i="7"/>
  <c r="F118" i="7" s="1"/>
  <c r="D121" i="7"/>
  <c r="F121" i="7" s="1"/>
  <c r="O58" i="7" l="1"/>
  <c r="O57" i="7"/>
  <c r="E120" i="7" s="1"/>
  <c r="G120" i="7" s="1"/>
  <c r="B6" i="8"/>
  <c r="B7" i="8" s="1"/>
  <c r="O61" i="7"/>
  <c r="E124" i="7" s="1"/>
  <c r="G124" i="7" s="1"/>
  <c r="D6" i="8"/>
  <c r="D7" i="8" s="1"/>
  <c r="O54" i="7"/>
  <c r="E117" i="7" s="1"/>
  <c r="G117" i="7" s="1"/>
  <c r="C6" i="8"/>
  <c r="C7" i="8" s="1"/>
  <c r="I130" i="7"/>
  <c r="I135" i="7"/>
  <c r="E118" i="7"/>
  <c r="G118" i="7" s="1"/>
  <c r="D123" i="7"/>
  <c r="F123" i="7" s="1"/>
  <c r="D124" i="7"/>
  <c r="F124" i="7" s="1"/>
  <c r="D117" i="7"/>
  <c r="F117" i="7" s="1"/>
  <c r="D120" i="7"/>
  <c r="F120" i="7" s="1"/>
  <c r="D122" i="7"/>
  <c r="F122" i="7" s="1"/>
  <c r="C18" i="10"/>
  <c r="H6" i="8" l="1"/>
  <c r="H7" i="8" s="1"/>
  <c r="B11" i="8"/>
  <c r="B14" i="8" s="1"/>
</calcChain>
</file>

<file path=xl/comments1.xml><?xml version="1.0" encoding="utf-8"?>
<comments xmlns="http://schemas.openxmlformats.org/spreadsheetml/2006/main">
  <authors>
    <author>LENOVO</author>
  </authors>
  <commentList>
    <comment ref="M6" authorId="0" shapeId="0">
      <text>
        <r>
          <rPr>
            <b/>
            <sz val="9"/>
            <color indexed="81"/>
            <rFont val="Tahoma"/>
            <family val="2"/>
          </rPr>
          <t>از این کالا در دوره های بعدی استفاده میشود.</t>
        </r>
      </text>
    </comment>
  </commentList>
</comments>
</file>

<file path=xl/comments2.xml><?xml version="1.0" encoding="utf-8"?>
<comments xmlns="http://schemas.openxmlformats.org/spreadsheetml/2006/main">
  <authors>
    <author>N.T</author>
  </authors>
  <commentList>
    <comment ref="B16" authorId="0" shapeId="0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Check if Resource exists in that state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the shipping cost for each resources in each State based on state you defined.</t>
        </r>
      </text>
    </comment>
    <comment ref="A50" authorId="0" shapeId="0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total shipping cost for each product based on the defined state.</t>
        </r>
      </text>
    </comment>
    <comment ref="A64" authorId="0" shapeId="0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material units needed for each product.</t>
        </r>
      </text>
    </comment>
    <comment ref="A77" authorId="0" shapeId="0">
      <text>
        <r>
          <rPr>
            <b/>
            <sz val="9"/>
            <color indexed="81"/>
            <rFont val="Tahoma"/>
            <family val="2"/>
          </rPr>
          <t>N.T:</t>
        </r>
        <r>
          <rPr>
            <sz val="9"/>
            <color indexed="81"/>
            <rFont val="Tahoma"/>
            <family val="2"/>
          </rPr>
          <t xml:space="preserve">
This table shows volume of each product*units.</t>
        </r>
      </text>
    </comment>
  </commentList>
</comments>
</file>

<file path=xl/sharedStrings.xml><?xml version="1.0" encoding="utf-8"?>
<sst xmlns="http://schemas.openxmlformats.org/spreadsheetml/2006/main" count="696" uniqueCount="197">
  <si>
    <t>Era</t>
  </si>
  <si>
    <t>Level</t>
  </si>
  <si>
    <t>Product Name</t>
  </si>
  <si>
    <t>Production Group</t>
  </si>
  <si>
    <t>1 Unit Volume</t>
  </si>
  <si>
    <t>Fixed Cost</t>
  </si>
  <si>
    <t>Variable Cost</t>
  </si>
  <si>
    <t>Min Price</t>
  </si>
  <si>
    <t>Max Price</t>
  </si>
  <si>
    <t>Raw Material</t>
  </si>
  <si>
    <t>aluminum</t>
  </si>
  <si>
    <t>Aluminium</t>
  </si>
  <si>
    <t>-</t>
  </si>
  <si>
    <t>chips</t>
  </si>
  <si>
    <t>Chips</t>
  </si>
  <si>
    <t>cobalt</t>
  </si>
  <si>
    <t>Cobalt</t>
  </si>
  <si>
    <t>copper</t>
  </si>
  <si>
    <t>Copper</t>
  </si>
  <si>
    <t>glass</t>
  </si>
  <si>
    <t>Glass</t>
  </si>
  <si>
    <t>lithium</t>
  </si>
  <si>
    <t>Lithium</t>
  </si>
  <si>
    <t>microphone</t>
  </si>
  <si>
    <t>Microphone</t>
  </si>
  <si>
    <t>plastic</t>
  </si>
  <si>
    <t>Plastic</t>
  </si>
  <si>
    <t>ports</t>
  </si>
  <si>
    <t>Ports</t>
  </si>
  <si>
    <t>processors</t>
  </si>
  <si>
    <t>Processors</t>
  </si>
  <si>
    <t>silicon</t>
  </si>
  <si>
    <t>Silicon</t>
  </si>
  <si>
    <t>speaker</t>
  </si>
  <si>
    <t>Speaker</t>
  </si>
  <si>
    <t>Vibration Motor</t>
  </si>
  <si>
    <t>Middle Level 1</t>
  </si>
  <si>
    <t>Module Units</t>
  </si>
  <si>
    <t>Phone Body Units</t>
  </si>
  <si>
    <t>Middle Level 2</t>
  </si>
  <si>
    <t>communication(2g)</t>
  </si>
  <si>
    <t>Communication Units</t>
  </si>
  <si>
    <t>media(no-camera)</t>
  </si>
  <si>
    <t>Media Units</t>
  </si>
  <si>
    <t>phonebody1</t>
  </si>
  <si>
    <t>Phone Body Assembly</t>
  </si>
  <si>
    <t>Final</t>
  </si>
  <si>
    <t>Gphone 1</t>
  </si>
  <si>
    <t>Gphone Assembly</t>
  </si>
  <si>
    <t>Camera</t>
  </si>
  <si>
    <t>Module units</t>
  </si>
  <si>
    <t>communication(3g)</t>
  </si>
  <si>
    <t>media(single-camera)</t>
  </si>
  <si>
    <t>phonebody2</t>
  </si>
  <si>
    <t>Gphone 2</t>
  </si>
  <si>
    <t>Gphone 3</t>
  </si>
  <si>
    <t>Cost</t>
  </si>
  <si>
    <t>ship</t>
  </si>
  <si>
    <t>airplane</t>
  </si>
  <si>
    <t>Truck</t>
  </si>
  <si>
    <t>Time (minute)</t>
  </si>
  <si>
    <t>distance</t>
  </si>
  <si>
    <t>Transportation</t>
  </si>
  <si>
    <t>Upgrade Cost</t>
  </si>
  <si>
    <t>Assembly Capacity</t>
  </si>
  <si>
    <t>Extending Cost</t>
  </si>
  <si>
    <t>Inventory Upgrade Cost</t>
  </si>
  <si>
    <t>Initial Money</t>
  </si>
  <si>
    <t>Recycle Facility Price</t>
  </si>
  <si>
    <t>Recycle Facility Capacity</t>
  </si>
  <si>
    <t>Recycle Facility Capacity After Upgrade</t>
  </si>
  <si>
    <t>Prodcution</t>
  </si>
  <si>
    <t>Assembly</t>
  </si>
  <si>
    <t>Recycle</t>
  </si>
  <si>
    <t>Inventory</t>
  </si>
  <si>
    <t>Production Facility Price</t>
  </si>
  <si>
    <t>Production Facility Capacity</t>
  </si>
  <si>
    <t>Production Facility Capacity After Upgrade</t>
  </si>
  <si>
    <t>Assembly Facility Price</t>
  </si>
  <si>
    <t>Assembly Facility Capacity After Upgrade</t>
  </si>
  <si>
    <t>Inventory Capacity</t>
  </si>
  <si>
    <t>Inventory Capacity After Upgrade</t>
  </si>
  <si>
    <t>Value</t>
  </si>
  <si>
    <t>Discarded Phone Price</t>
  </si>
  <si>
    <t>Raw Meterial</t>
  </si>
  <si>
    <t>Output for 1 Discarded Phone</t>
  </si>
  <si>
    <t>Variable Cost (for each Discarded Phone)</t>
  </si>
  <si>
    <t>Raw Materials</t>
  </si>
  <si>
    <t>modem2g</t>
  </si>
  <si>
    <t>displaywithkeypad</t>
  </si>
  <si>
    <t>phonebattery</t>
  </si>
  <si>
    <t>phoneframekeypad</t>
  </si>
  <si>
    <t>camera</t>
  </si>
  <si>
    <t>modem3g</t>
  </si>
  <si>
    <t>phoneframe</t>
  </si>
  <si>
    <t>touchdisplay</t>
  </si>
  <si>
    <t>Production Rate
 (for 1 game day ~ 8seconds)</t>
  </si>
  <si>
    <t>Product Type</t>
  </si>
  <si>
    <t>Recycle Rate (Discarded Phone per Minute)</t>
  </si>
  <si>
    <t>States</t>
  </si>
  <si>
    <t>1</t>
  </si>
  <si>
    <t>2</t>
  </si>
  <si>
    <t>3</t>
  </si>
  <si>
    <t>4</t>
  </si>
  <si>
    <t>5</t>
  </si>
  <si>
    <t>6</t>
  </si>
  <si>
    <t>7</t>
  </si>
  <si>
    <t>8</t>
  </si>
  <si>
    <t>State</t>
  </si>
  <si>
    <t>Min State</t>
  </si>
  <si>
    <t>Min</t>
  </si>
  <si>
    <t>Unit</t>
  </si>
  <si>
    <t>Fixed</t>
  </si>
  <si>
    <t>Var</t>
  </si>
  <si>
    <t>Shipping Cost</t>
  </si>
  <si>
    <t>Material Cost</t>
  </si>
  <si>
    <t>aluminium</t>
  </si>
  <si>
    <t>Modem2G</t>
  </si>
  <si>
    <t>PhoneBattery</t>
  </si>
  <si>
    <t>PhoneBody1</t>
  </si>
  <si>
    <t>Gphone1</t>
  </si>
  <si>
    <t>Modem3G</t>
  </si>
  <si>
    <t>PhoneFrame</t>
  </si>
  <si>
    <t>TouchDisplay</t>
  </si>
  <si>
    <t>PhoneBody2</t>
  </si>
  <si>
    <t>Gphone2</t>
  </si>
  <si>
    <t>Gphone3</t>
  </si>
  <si>
    <t>MatCost</t>
  </si>
  <si>
    <t>Row</t>
  </si>
  <si>
    <t>Prouct Cost</t>
  </si>
  <si>
    <t>Total Volume</t>
  </si>
  <si>
    <t>Material Unit</t>
  </si>
  <si>
    <t>Material Volume</t>
  </si>
  <si>
    <t>Line</t>
  </si>
  <si>
    <t>Var Cost</t>
  </si>
  <si>
    <t>Total Cost</t>
  </si>
  <si>
    <t>ShipCost</t>
  </si>
  <si>
    <t>Min Profit</t>
  </si>
  <si>
    <t>Max Profit</t>
  </si>
  <si>
    <t>Min Profit Percent</t>
  </si>
  <si>
    <t>Max Profit Percent</t>
  </si>
  <si>
    <t>Product</t>
  </si>
  <si>
    <t>Shipping Mode</t>
  </si>
  <si>
    <t>Material</t>
  </si>
  <si>
    <t>Materials</t>
  </si>
  <si>
    <t>Min Percent</t>
  </si>
  <si>
    <t>Max Percent</t>
  </si>
  <si>
    <t>Costs</t>
  </si>
  <si>
    <t>Shipping</t>
  </si>
  <si>
    <t>Production Cost</t>
  </si>
  <si>
    <t>Production Rate</t>
  </si>
  <si>
    <t>1 Month</t>
  </si>
  <si>
    <t>1 month Profit</t>
  </si>
  <si>
    <t>1 month Qty</t>
  </si>
  <si>
    <t>Monthly Cost</t>
  </si>
  <si>
    <t>Monthly Volume</t>
  </si>
  <si>
    <t>Distance Table</t>
  </si>
  <si>
    <t>Resource/State</t>
  </si>
  <si>
    <t>Resorce/State</t>
  </si>
  <si>
    <t>Product Shipping Cost</t>
  </si>
  <si>
    <t>Inventory Proportion</t>
  </si>
  <si>
    <t>Units</t>
  </si>
  <si>
    <t>Product Volume</t>
  </si>
  <si>
    <t>1 Month Maximum Production</t>
  </si>
  <si>
    <t>Material occupied space</t>
  </si>
  <si>
    <t>Product occupied space</t>
  </si>
  <si>
    <t>Order ID</t>
  </si>
  <si>
    <t>Status</t>
  </si>
  <si>
    <t>Now</t>
  </si>
  <si>
    <t>Month</t>
  </si>
  <si>
    <t>Volume</t>
  </si>
  <si>
    <t>Destination (Minutes)</t>
  </si>
  <si>
    <t>Cost Type</t>
  </si>
  <si>
    <t>Start Time</t>
  </si>
  <si>
    <t>Shipping Time(Min)</t>
  </si>
  <si>
    <t>Total</t>
  </si>
  <si>
    <t>notes</t>
  </si>
  <si>
    <t>Empty Space</t>
  </si>
  <si>
    <t>Total Space</t>
  </si>
  <si>
    <t>VibrationMotor</t>
  </si>
  <si>
    <t>Line 1</t>
  </si>
  <si>
    <t>Required Time</t>
  </si>
  <si>
    <t>Remaining Time</t>
  </si>
  <si>
    <t>Line 2</t>
  </si>
  <si>
    <t>Req Time</t>
  </si>
  <si>
    <t>Production</t>
  </si>
  <si>
    <t>Products Inventory</t>
  </si>
  <si>
    <t>Material Inventory</t>
  </si>
  <si>
    <t>Production Planning</t>
  </si>
  <si>
    <t>Occupied Space</t>
  </si>
  <si>
    <t>Production Lines</t>
  </si>
  <si>
    <t>min</t>
  </si>
  <si>
    <t>max Unit</t>
  </si>
  <si>
    <t>Occupied</t>
  </si>
  <si>
    <t>Empty</t>
  </si>
  <si>
    <t>Elapsed Time(Sec)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</si>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</sst>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m/d/yyyy\ hh:mm:ss"/>
    <numFmt numFmtId="167" formatCode="0.0%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1D3557"/>
      <name val="Calibri"/>
      <family val="2"/>
      <scheme val="minor"/>
    </font>
    <font>
      <b/>
      <sz val="12"/>
      <color rgb="FFF1FAEE"/>
      <name val="Calibri"/>
      <family val="2"/>
      <scheme val="minor"/>
    </font>
    <font>
      <sz val="11"/>
      <color rgb="FFF1FAEE"/>
      <name val="Calibri"/>
      <family val="2"/>
      <scheme val="minor"/>
    </font>
    <font>
      <b/>
      <sz val="11"/>
      <color rgb="FFF1FAEE"/>
      <name val="Calibri"/>
      <family val="2"/>
      <scheme val="minor"/>
    </font>
    <font>
      <b/>
      <sz val="14"/>
      <color rgb="FFF1FAEE"/>
      <name val="Calibri"/>
      <family val="2"/>
      <scheme val="minor"/>
    </font>
    <font>
      <sz val="14"/>
      <color rgb="FFF1FAEE"/>
      <name val="Calibri"/>
      <family val="2"/>
      <scheme val="minor"/>
    </font>
    <font>
      <b/>
      <sz val="11"/>
      <color rgb="FFF1FAEE"/>
      <name val="Calibri"/>
      <scheme val="minor"/>
    </font>
    <font>
      <sz val="11"/>
      <color rgb="FFF1FAEE"/>
      <name val="Calibri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EFEFEF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/>
      </patternFill>
    </fill>
    <fill>
      <patternFill patternType="solid">
        <fgColor rgb="FF1D3557"/>
        <bgColor indexed="64"/>
      </patternFill>
    </fill>
    <fill>
      <patternFill patternType="solid">
        <fgColor rgb="FF457B9D"/>
        <bgColor indexed="64"/>
      </patternFill>
    </fill>
    <fill>
      <patternFill patternType="solid">
        <fgColor rgb="FF1D3557"/>
        <bgColor theme="4"/>
      </patternFill>
    </fill>
    <fill>
      <patternFill patternType="solid">
        <fgColor rgb="FF1D3557"/>
        <bgColor theme="4" tint="0.79998168889431442"/>
      </patternFill>
    </fill>
  </fills>
  <borders count="9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CCCCCC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/>
      <diagonal/>
    </border>
    <border>
      <left style="medium">
        <color indexed="64"/>
      </left>
      <right/>
      <top/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/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/>
      <diagonal/>
    </border>
    <border>
      <left style="double">
        <color rgb="FF000000"/>
      </left>
      <right style="medium">
        <color rgb="FFCCCCCC"/>
      </right>
      <top/>
      <bottom/>
      <diagonal/>
    </border>
    <border>
      <left style="double">
        <color rgb="FF000000"/>
      </left>
      <right style="medium">
        <color rgb="FFCCCCCC"/>
      </right>
      <top/>
      <bottom style="double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double">
        <color rgb="FF000000"/>
      </bottom>
      <diagonal/>
    </border>
    <border>
      <left style="double">
        <color rgb="FF000000"/>
      </left>
      <right style="medium">
        <color rgb="FFCCCCCC"/>
      </right>
      <top style="double">
        <color rgb="FF000000"/>
      </top>
      <bottom/>
      <diagonal/>
    </border>
    <border>
      <left style="double">
        <color rgb="FF000000"/>
      </left>
      <right style="medium">
        <color rgb="FFCCCCCC"/>
      </right>
      <top style="double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double">
        <color rgb="FF000000"/>
      </top>
      <bottom style="medium">
        <color rgb="FFCCCCCC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medium">
        <color rgb="FFCCCCCC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/>
      <right style="double">
        <color indexed="64"/>
      </right>
      <top style="double">
        <color rgb="FF000000"/>
      </top>
      <bottom style="double">
        <color rgb="FF000000"/>
      </bottom>
      <diagonal/>
    </border>
    <border>
      <left style="medium">
        <color rgb="FFCCCCCC"/>
      </left>
      <right style="double">
        <color indexed="64"/>
      </right>
      <top style="double">
        <color rgb="FF000000"/>
      </top>
      <bottom style="double">
        <color rgb="FF000000"/>
      </bottom>
      <diagonal/>
    </border>
    <border>
      <left style="medium">
        <color rgb="FFCCCCCC"/>
      </left>
      <right style="double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double">
        <color indexed="64"/>
      </bottom>
      <diagonal/>
    </border>
    <border>
      <left style="double">
        <color rgb="FF000000"/>
      </left>
      <right style="double">
        <color rgb="FF000000"/>
      </right>
      <top/>
      <bottom style="double">
        <color indexed="64"/>
      </bottom>
      <diagonal/>
    </border>
    <border>
      <left style="medium">
        <color rgb="FFCCCCCC"/>
      </left>
      <right style="double">
        <color indexed="64"/>
      </right>
      <top style="medium">
        <color rgb="FFCCCCCC"/>
      </top>
      <bottom style="double">
        <color rgb="FF000000"/>
      </bottom>
      <diagonal/>
    </border>
    <border>
      <left/>
      <right style="medium">
        <color rgb="FFCCCCCC"/>
      </right>
      <top style="medium">
        <color rgb="FFCCCCCC"/>
      </top>
      <bottom style="double">
        <color rgb="FF000000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double">
        <color indexed="64"/>
      </bottom>
      <diagonal/>
    </border>
    <border>
      <left style="medium">
        <color rgb="FFCCCCCC"/>
      </left>
      <right style="double">
        <color indexed="64"/>
      </right>
      <top style="double">
        <color rgb="FF000000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indexed="64"/>
      </bottom>
      <diagonal/>
    </border>
    <border>
      <left style="medium">
        <color rgb="FFCCCCCC"/>
      </left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/>
      <right style="double">
        <color rgb="FF000000"/>
      </right>
      <top style="medium">
        <color rgb="FFCCCCCC"/>
      </top>
      <bottom style="double">
        <color rgb="FF000000"/>
      </bottom>
      <diagonal/>
    </border>
    <border>
      <left/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/>
      <bottom style="double">
        <color rgb="FF000000"/>
      </bottom>
      <diagonal/>
    </border>
    <border>
      <left style="medium">
        <color rgb="FFCCCCCC"/>
      </left>
      <right/>
      <top/>
      <bottom style="double">
        <color rgb="FF000000"/>
      </bottom>
      <diagonal/>
    </border>
    <border>
      <left/>
      <right style="medium">
        <color rgb="FFCCCCCC"/>
      </right>
      <top style="double">
        <color rgb="FF000000"/>
      </top>
      <bottom style="medium">
        <color rgb="FFCCCCCC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/>
      <diagonal/>
    </border>
    <border>
      <left/>
      <right style="double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 style="double">
        <color rgb="FF000000"/>
      </bottom>
      <diagonal/>
    </border>
    <border>
      <left style="double">
        <color rgb="FF000000"/>
      </left>
      <right/>
      <top/>
      <bottom/>
      <diagonal/>
    </border>
    <border>
      <left style="double">
        <color rgb="FF000000"/>
      </left>
      <right/>
      <top/>
      <bottom style="double">
        <color indexed="64"/>
      </bottom>
      <diagonal/>
    </border>
    <border>
      <left style="medium">
        <color rgb="FFCCCCCC"/>
      </left>
      <right/>
      <top style="double">
        <color rgb="FF000000"/>
      </top>
      <bottom style="double">
        <color rgb="FF000000"/>
      </bottom>
      <diagonal/>
    </border>
    <border>
      <left/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medium">
        <color rgb="FFCCCCCC"/>
      </top>
      <bottom/>
      <diagonal/>
    </border>
    <border>
      <left style="medium">
        <color rgb="FFCCCCCC"/>
      </left>
      <right style="double">
        <color indexed="64"/>
      </right>
      <top style="medium">
        <color rgb="FFCCCCCC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rgb="FF457B9D"/>
      </left>
      <right style="medium">
        <color rgb="FF457B9D"/>
      </right>
      <top style="medium">
        <color rgb="FF457B9D"/>
      </top>
      <bottom style="medium">
        <color rgb="FF457B9D"/>
      </bottom>
      <diagonal/>
    </border>
  </borders>
  <cellStyleXfs count="7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7" fillId="21" borderId="0" applyNumberFormat="0" applyBorder="0" applyAlignment="0" applyProtection="0"/>
    <xf numFmtId="0" fontId="13" fillId="0" borderId="91" applyNumberFormat="0" applyFill="0" applyAlignment="0" applyProtection="0"/>
  </cellStyleXfs>
  <cellXfs count="263">
    <xf numFmtId="0" fontId="0" fillId="0" borderId="0" xfId="0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0" borderId="26" xfId="0" applyBorder="1" applyAlignment="1">
      <alignment wrapText="1"/>
    </xf>
    <xf numFmtId="0" fontId="0" fillId="12" borderId="3" xfId="0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0" fontId="1" fillId="9" borderId="13" xfId="0" applyFont="1" applyFill="1" applyBorder="1" applyAlignment="1">
      <alignment horizontal="center"/>
    </xf>
    <xf numFmtId="0" fontId="1" fillId="9" borderId="14" xfId="0" applyFont="1" applyFill="1" applyBorder="1" applyAlignment="1">
      <alignment horizontal="center"/>
    </xf>
    <xf numFmtId="0" fontId="1" fillId="11" borderId="23" xfId="0" applyFont="1" applyFill="1" applyBorder="1" applyAlignment="1">
      <alignment horizontal="center"/>
    </xf>
    <xf numFmtId="0" fontId="1" fillId="11" borderId="0" xfId="0" applyFont="1" applyFill="1" applyAlignment="1">
      <alignment horizontal="center" vertical="center"/>
    </xf>
    <xf numFmtId="0" fontId="1" fillId="11" borderId="4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3" fontId="1" fillId="13" borderId="5" xfId="0" applyNumberFormat="1" applyFont="1" applyFill="1" applyBorder="1" applyAlignment="1">
      <alignment horizontal="center"/>
    </xf>
    <xf numFmtId="3" fontId="1" fillId="8" borderId="15" xfId="0" applyNumberFormat="1" applyFont="1" applyFill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8" borderId="16" xfId="0" applyNumberFormat="1" applyFont="1" applyFill="1" applyBorder="1" applyAlignment="1">
      <alignment horizontal="center"/>
    </xf>
    <xf numFmtId="3" fontId="1" fillId="8" borderId="17" xfId="0" applyNumberFormat="1" applyFont="1" applyFill="1" applyBorder="1" applyAlignment="1">
      <alignment horizontal="center"/>
    </xf>
    <xf numFmtId="3" fontId="1" fillId="7" borderId="15" xfId="0" applyNumberFormat="1" applyFont="1" applyFill="1" applyBorder="1" applyAlignment="1">
      <alignment horizontal="center"/>
    </xf>
    <xf numFmtId="3" fontId="1" fillId="7" borderId="16" xfId="0" applyNumberFormat="1" applyFont="1" applyFill="1" applyBorder="1" applyAlignment="1">
      <alignment horizontal="center"/>
    </xf>
    <xf numFmtId="3" fontId="1" fillId="7" borderId="21" xfId="0" applyNumberFormat="1" applyFont="1" applyFill="1" applyBorder="1" applyAlignment="1">
      <alignment horizontal="center"/>
    </xf>
    <xf numFmtId="3" fontId="1" fillId="9" borderId="19" xfId="0" applyNumberFormat="1" applyFont="1" applyFill="1" applyBorder="1" applyAlignment="1">
      <alignment horizontal="center"/>
    </xf>
    <xf numFmtId="3" fontId="1" fillId="9" borderId="16" xfId="0" applyNumberFormat="1" applyFont="1" applyFill="1" applyBorder="1" applyAlignment="1">
      <alignment horizontal="center"/>
    </xf>
    <xf numFmtId="3" fontId="1" fillId="9" borderId="17" xfId="0" applyNumberFormat="1" applyFont="1" applyFill="1" applyBorder="1" applyAlignment="1">
      <alignment horizontal="center"/>
    </xf>
    <xf numFmtId="3" fontId="1" fillId="11" borderId="7" xfId="0" applyNumberFormat="1" applyFont="1" applyFill="1" applyBorder="1" applyAlignment="1">
      <alignment horizontal="center"/>
    </xf>
    <xf numFmtId="3" fontId="1" fillId="11" borderId="8" xfId="0" applyNumberFormat="1" applyFont="1" applyFill="1" applyBorder="1" applyAlignment="1">
      <alignment horizontal="center" vertical="center"/>
    </xf>
    <xf numFmtId="3" fontId="1" fillId="11" borderId="9" xfId="0" applyNumberFormat="1" applyFont="1" applyFill="1" applyBorder="1" applyAlignment="1">
      <alignment horizontal="center"/>
    </xf>
    <xf numFmtId="3" fontId="1" fillId="10" borderId="5" xfId="0" applyNumberFormat="1" applyFont="1" applyFill="1" applyBorder="1" applyAlignment="1">
      <alignment horizontal="center"/>
    </xf>
    <xf numFmtId="3" fontId="0" fillId="0" borderId="0" xfId="0" applyNumberFormat="1"/>
    <xf numFmtId="3" fontId="1" fillId="8" borderId="1" xfId="0" applyNumberFormat="1" applyFont="1" applyFill="1" applyBorder="1" applyAlignment="1">
      <alignment horizontal="center" vertical="center" wrapText="1"/>
    </xf>
    <xf numFmtId="3" fontId="1" fillId="10" borderId="1" xfId="0" applyNumberFormat="1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22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/>
    </xf>
    <xf numFmtId="0" fontId="1" fillId="9" borderId="22" xfId="0" applyFont="1" applyFill="1" applyBorder="1"/>
    <xf numFmtId="0" fontId="1" fillId="9" borderId="25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3" borderId="30" xfId="0" applyNumberFormat="1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3" fontId="3" fillId="4" borderId="30" xfId="0" applyNumberFormat="1" applyFont="1" applyFill="1" applyBorder="1" applyAlignment="1">
      <alignment horizontal="center" vertical="center" wrapText="1"/>
    </xf>
    <xf numFmtId="0" fontId="3" fillId="5" borderId="31" xfId="0" applyFont="1" applyFill="1" applyBorder="1" applyAlignment="1">
      <alignment horizontal="center" vertical="center" wrapText="1"/>
    </xf>
    <xf numFmtId="3" fontId="3" fillId="5" borderId="31" xfId="0" applyNumberFormat="1" applyFont="1" applyFill="1" applyBorder="1" applyAlignment="1">
      <alignment horizontal="center" vertical="center" wrapText="1"/>
    </xf>
    <xf numFmtId="3" fontId="3" fillId="5" borderId="3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3" fontId="3" fillId="5" borderId="1" xfId="0" applyNumberFormat="1" applyFont="1" applyFill="1" applyBorder="1" applyAlignment="1">
      <alignment horizontal="center" vertical="center" wrapText="1"/>
    </xf>
    <xf numFmtId="3" fontId="3" fillId="5" borderId="30" xfId="0" applyNumberFormat="1" applyFont="1" applyFill="1" applyBorder="1" applyAlignment="1">
      <alignment horizontal="center" vertical="center" wrapText="1"/>
    </xf>
    <xf numFmtId="0" fontId="1" fillId="17" borderId="32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" fillId="17" borderId="4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0" fillId="18" borderId="50" xfId="0" applyFill="1" applyBorder="1" applyAlignment="1">
      <alignment horizontal="center" vertical="center"/>
    </xf>
    <xf numFmtId="0" fontId="0" fillId="18" borderId="51" xfId="0" applyFill="1" applyBorder="1" applyAlignment="1">
      <alignment horizontal="center" vertical="center"/>
    </xf>
    <xf numFmtId="0" fontId="2" fillId="4" borderId="53" xfId="0" applyFont="1" applyFill="1" applyBorder="1" applyAlignment="1">
      <alignment horizontal="center" vertical="center"/>
    </xf>
    <xf numFmtId="0" fontId="1" fillId="9" borderId="5" xfId="0" applyFont="1" applyFill="1" applyBorder="1"/>
    <xf numFmtId="0" fontId="2" fillId="4" borderId="54" xfId="0" applyFont="1" applyFill="1" applyBorder="1" applyAlignment="1">
      <alignment horizontal="center" vertical="center"/>
    </xf>
    <xf numFmtId="0" fontId="0" fillId="18" borderId="24" xfId="0" applyFill="1" applyBorder="1" applyAlignment="1">
      <alignment horizontal="center" vertical="center"/>
    </xf>
    <xf numFmtId="0" fontId="2" fillId="4" borderId="49" xfId="0" applyFont="1" applyFill="1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0" fillId="18" borderId="55" xfId="0" applyFill="1" applyBorder="1" applyAlignment="1">
      <alignment horizontal="center" vertical="center"/>
    </xf>
    <xf numFmtId="0" fontId="2" fillId="0" borderId="56" xfId="0" applyFont="1" applyBorder="1" applyAlignment="1">
      <alignment horizontal="center" vertical="center" wrapText="1"/>
    </xf>
    <xf numFmtId="0" fontId="3" fillId="2" borderId="50" xfId="0" applyFont="1" applyFill="1" applyBorder="1" applyAlignment="1">
      <alignment horizontal="center" vertical="center" wrapText="1"/>
    </xf>
    <xf numFmtId="3" fontId="3" fillId="3" borderId="50" xfId="0" applyNumberFormat="1" applyFont="1" applyFill="1" applyBorder="1" applyAlignment="1">
      <alignment horizontal="center" vertical="center" wrapText="1"/>
    </xf>
    <xf numFmtId="43" fontId="0" fillId="0" borderId="0" xfId="1" applyFont="1"/>
    <xf numFmtId="0" fontId="0" fillId="0" borderId="0" xfId="1" applyNumberFormat="1" applyFont="1"/>
    <xf numFmtId="0" fontId="0" fillId="0" borderId="0" xfId="0" applyNumberFormat="1"/>
    <xf numFmtId="164" fontId="0" fillId="0" borderId="0" xfId="1" applyNumberFormat="1" applyFont="1"/>
    <xf numFmtId="0" fontId="1" fillId="8" borderId="60" xfId="0" applyFont="1" applyFill="1" applyBorder="1" applyAlignment="1">
      <alignment horizontal="center" vertical="center" wrapText="1"/>
    </xf>
    <xf numFmtId="0" fontId="1" fillId="10" borderId="60" xfId="0" applyFont="1" applyFill="1" applyBorder="1" applyAlignment="1">
      <alignment horizontal="center" vertical="center" wrapText="1"/>
    </xf>
    <xf numFmtId="0" fontId="4" fillId="15" borderId="61" xfId="0" applyFont="1" applyFill="1" applyBorder="1" applyAlignment="1">
      <alignment horizontal="center"/>
    </xf>
    <xf numFmtId="0" fontId="4" fillId="15" borderId="62" xfId="0" applyFont="1" applyFill="1" applyBorder="1" applyAlignment="1">
      <alignment horizontal="center"/>
    </xf>
    <xf numFmtId="0" fontId="4" fillId="15" borderId="63" xfId="0" applyFont="1" applyFill="1" applyBorder="1" applyAlignment="1">
      <alignment horizontal="center"/>
    </xf>
    <xf numFmtId="0" fontId="1" fillId="7" borderId="64" xfId="0" applyFont="1" applyFill="1" applyBorder="1" applyAlignment="1">
      <alignment horizontal="center" vertical="center" wrapText="1"/>
    </xf>
    <xf numFmtId="3" fontId="1" fillId="7" borderId="64" xfId="0" applyNumberFormat="1" applyFont="1" applyFill="1" applyBorder="1" applyAlignment="1">
      <alignment horizontal="center" vertical="center" wrapText="1"/>
    </xf>
    <xf numFmtId="0" fontId="1" fillId="7" borderId="65" xfId="0" applyFont="1" applyFill="1" applyBorder="1" applyAlignment="1">
      <alignment horizontal="center" vertical="center" wrapText="1"/>
    </xf>
    <xf numFmtId="0" fontId="1" fillId="7" borderId="60" xfId="0" applyFont="1" applyFill="1" applyBorder="1" applyAlignment="1">
      <alignment horizontal="center" vertical="center" wrapText="1"/>
    </xf>
    <xf numFmtId="0" fontId="4" fillId="16" borderId="66" xfId="0" applyFont="1" applyFill="1" applyBorder="1" applyAlignment="1">
      <alignment horizontal="center" vertical="center" wrapText="1"/>
    </xf>
    <xf numFmtId="0" fontId="1" fillId="10" borderId="61" xfId="0" applyFont="1" applyFill="1" applyBorder="1" applyAlignment="1">
      <alignment horizontal="center" vertical="center" wrapText="1"/>
    </xf>
    <xf numFmtId="0" fontId="1" fillId="12" borderId="63" xfId="0" applyFont="1" applyFill="1" applyBorder="1" applyAlignment="1">
      <alignment horizontal="center" vertical="center" wrapText="1"/>
    </xf>
    <xf numFmtId="0" fontId="1" fillId="7" borderId="59" xfId="0" applyFont="1" applyFill="1" applyBorder="1" applyAlignment="1">
      <alignment horizontal="center" vertical="center" wrapText="1"/>
    </xf>
    <xf numFmtId="0" fontId="1" fillId="9" borderId="67" xfId="0" applyFont="1" applyFill="1" applyBorder="1" applyAlignment="1">
      <alignment horizontal="center" vertical="center" wrapText="1"/>
    </xf>
    <xf numFmtId="0" fontId="0" fillId="10" borderId="68" xfId="0" applyFill="1" applyBorder="1" applyAlignment="1">
      <alignment horizontal="center" vertical="center" wrapText="1"/>
    </xf>
    <xf numFmtId="0" fontId="0" fillId="12" borderId="69" xfId="0" applyFill="1" applyBorder="1" applyAlignment="1">
      <alignment horizontal="center" vertical="center" wrapText="1"/>
    </xf>
    <xf numFmtId="0" fontId="1" fillId="0" borderId="0" xfId="0" applyFont="1"/>
    <xf numFmtId="0" fontId="3" fillId="3" borderId="71" xfId="0" applyFont="1" applyFill="1" applyBorder="1" applyAlignment="1">
      <alignment horizontal="center" vertical="center"/>
    </xf>
    <xf numFmtId="0" fontId="3" fillId="3" borderId="70" xfId="0" applyFont="1" applyFill="1" applyBorder="1" applyAlignment="1">
      <alignment horizontal="center" vertical="center"/>
    </xf>
    <xf numFmtId="0" fontId="0" fillId="18" borderId="60" xfId="0" applyFill="1" applyBorder="1" applyAlignment="1">
      <alignment horizontal="center" vertical="center"/>
    </xf>
    <xf numFmtId="0" fontId="0" fillId="18" borderId="72" xfId="0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4" xfId="0" applyFont="1" applyFill="1" applyBorder="1" applyAlignment="1">
      <alignment horizontal="center" vertical="center"/>
    </xf>
    <xf numFmtId="0" fontId="2" fillId="0" borderId="75" xfId="0" applyFont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5" borderId="5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8" xfId="0" applyFont="1" applyFill="1" applyBorder="1" applyAlignment="1">
      <alignment horizontal="center" vertical="center" wrapText="1"/>
    </xf>
    <xf numFmtId="0" fontId="3" fillId="5" borderId="64" xfId="0" applyFont="1" applyFill="1" applyBorder="1" applyAlignment="1">
      <alignment horizontal="center" vertical="center" wrapText="1"/>
    </xf>
    <xf numFmtId="165" fontId="0" fillId="0" borderId="0" xfId="1" applyNumberFormat="1" applyFont="1"/>
    <xf numFmtId="43" fontId="0" fillId="0" borderId="0" xfId="0" applyNumberFormat="1"/>
    <xf numFmtId="165" fontId="0" fillId="0" borderId="0" xfId="0" applyNumberFormat="1"/>
    <xf numFmtId="9" fontId="0" fillId="0" borderId="0" xfId="2" applyFont="1"/>
    <xf numFmtId="0" fontId="1" fillId="17" borderId="78" xfId="0" applyFont="1" applyFill="1" applyBorder="1" applyAlignment="1">
      <alignment horizontal="center" vertical="center"/>
    </xf>
    <xf numFmtId="0" fontId="2" fillId="3" borderId="81" xfId="0" applyFont="1" applyFill="1" applyBorder="1" applyAlignment="1">
      <alignment horizontal="center" vertical="center"/>
    </xf>
    <xf numFmtId="0" fontId="1" fillId="17" borderId="76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0" fillId="18" borderId="64" xfId="0" applyFill="1" applyBorder="1" applyAlignment="1">
      <alignment horizontal="center" vertical="center"/>
    </xf>
    <xf numFmtId="0" fontId="0" fillId="18" borderId="84" xfId="0" applyFill="1" applyBorder="1" applyAlignment="1">
      <alignment horizontal="center" vertical="center"/>
    </xf>
    <xf numFmtId="0" fontId="0" fillId="18" borderId="68" xfId="0" applyFill="1" applyBorder="1" applyAlignment="1">
      <alignment horizontal="center" vertical="center"/>
    </xf>
    <xf numFmtId="0" fontId="0" fillId="18" borderId="65" xfId="0" applyFill="1" applyBorder="1" applyAlignment="1">
      <alignment horizontal="center" vertical="center"/>
    </xf>
    <xf numFmtId="0" fontId="4" fillId="19" borderId="85" xfId="0" applyFont="1" applyFill="1" applyBorder="1"/>
    <xf numFmtId="43" fontId="0" fillId="20" borderId="85" xfId="1" applyNumberFormat="1" applyFont="1" applyFill="1" applyBorder="1"/>
    <xf numFmtId="43" fontId="0" fillId="0" borderId="85" xfId="1" applyNumberFormat="1" applyFont="1" applyBorder="1"/>
    <xf numFmtId="0" fontId="0" fillId="20" borderId="85" xfId="0" applyFont="1" applyFill="1" applyBorder="1"/>
    <xf numFmtId="0" fontId="0" fillId="0" borderId="85" xfId="0" applyFont="1" applyBorder="1"/>
    <xf numFmtId="0" fontId="4" fillId="19" borderId="0" xfId="0" applyFont="1" applyFill="1" applyBorder="1"/>
    <xf numFmtId="0" fontId="8" fillId="19" borderId="0" xfId="0" applyFont="1" applyFill="1"/>
    <xf numFmtId="0" fontId="1" fillId="0" borderId="0" xfId="0" applyNumberFormat="1" applyFont="1"/>
    <xf numFmtId="0" fontId="1" fillId="0" borderId="0" xfId="1" applyNumberFormat="1" applyFont="1"/>
    <xf numFmtId="164" fontId="1" fillId="0" borderId="0" xfId="1" applyNumberFormat="1" applyFont="1"/>
    <xf numFmtId="0" fontId="4" fillId="19" borderId="0" xfId="0" applyFont="1" applyFill="1"/>
    <xf numFmtId="2" fontId="0" fillId="0" borderId="0" xfId="0" applyNumberFormat="1"/>
    <xf numFmtId="44" fontId="0" fillId="0" borderId="0" xfId="3" applyFont="1"/>
    <xf numFmtId="0" fontId="0" fillId="22" borderId="0" xfId="0" applyFill="1"/>
    <xf numFmtId="0" fontId="7" fillId="22" borderId="0" xfId="0" applyFont="1" applyFill="1"/>
    <xf numFmtId="0" fontId="1" fillId="22" borderId="0" xfId="0" applyFont="1" applyFill="1"/>
    <xf numFmtId="43" fontId="0" fillId="22" borderId="0" xfId="1" applyFont="1" applyFill="1"/>
    <xf numFmtId="9" fontId="0" fillId="22" borderId="0" xfId="2" applyFont="1" applyFill="1"/>
    <xf numFmtId="0" fontId="12" fillId="22" borderId="0" xfId="0" applyFont="1" applyFill="1"/>
    <xf numFmtId="0" fontId="14" fillId="22" borderId="0" xfId="0" applyFont="1" applyFill="1"/>
    <xf numFmtId="0" fontId="16" fillId="22" borderId="0" xfId="0" applyFont="1" applyFill="1"/>
    <xf numFmtId="164" fontId="16" fillId="22" borderId="0" xfId="1" applyNumberFormat="1" applyFont="1" applyFill="1"/>
    <xf numFmtId="0" fontId="18" fillId="22" borderId="93" xfId="4" applyFont="1" applyFill="1" applyBorder="1"/>
    <xf numFmtId="43" fontId="18" fillId="22" borderId="93" xfId="1" applyFont="1" applyFill="1" applyBorder="1"/>
    <xf numFmtId="9" fontId="18" fillId="22" borderId="93" xfId="2" applyFont="1" applyFill="1" applyBorder="1"/>
    <xf numFmtId="166" fontId="19" fillId="22" borderId="92" xfId="2" applyNumberFormat="1" applyFont="1" applyFill="1" applyBorder="1"/>
    <xf numFmtId="44" fontId="18" fillId="22" borderId="93" xfId="3" applyFont="1" applyFill="1" applyBorder="1"/>
    <xf numFmtId="0" fontId="18" fillId="22" borderId="91" xfId="6" applyFont="1" applyFill="1" applyAlignment="1">
      <alignment horizontal="center" vertical="center"/>
    </xf>
    <xf numFmtId="0" fontId="15" fillId="22" borderId="0" xfId="0" applyNumberFormat="1" applyFont="1" applyFill="1" applyAlignment="1">
      <alignment horizontal="center" vertical="center"/>
    </xf>
    <xf numFmtId="0" fontId="15" fillId="22" borderId="0" xfId="0" applyFont="1" applyFill="1" applyAlignment="1">
      <alignment horizontal="center" vertical="center"/>
    </xf>
    <xf numFmtId="164" fontId="15" fillId="22" borderId="0" xfId="1" applyNumberFormat="1" applyFont="1" applyFill="1" applyAlignment="1">
      <alignment horizontal="center" vertical="center"/>
    </xf>
    <xf numFmtId="9" fontId="15" fillId="22" borderId="0" xfId="2" applyFont="1" applyFill="1" applyAlignment="1">
      <alignment horizontal="center" vertical="center"/>
    </xf>
    <xf numFmtId="0" fontId="15" fillId="22" borderId="0" xfId="2" applyNumberFormat="1" applyFont="1" applyFill="1" applyAlignment="1">
      <alignment horizontal="center" vertical="center"/>
    </xf>
    <xf numFmtId="166" fontId="15" fillId="22" borderId="0" xfId="2" applyNumberFormat="1" applyFont="1" applyFill="1" applyAlignment="1">
      <alignment horizontal="center" vertical="center"/>
    </xf>
    <xf numFmtId="9" fontId="14" fillId="22" borderId="0" xfId="2" applyFont="1" applyFill="1"/>
    <xf numFmtId="9" fontId="14" fillId="22" borderId="0" xfId="0" applyNumberFormat="1" applyFont="1" applyFill="1"/>
    <xf numFmtId="9" fontId="7" fillId="22" borderId="0" xfId="2" applyFont="1" applyFill="1"/>
    <xf numFmtId="9" fontId="7" fillId="22" borderId="0" xfId="0" applyNumberFormat="1" applyFont="1" applyFill="1"/>
    <xf numFmtId="0" fontId="0" fillId="22" borderId="0" xfId="0" applyFill="1" applyAlignment="1">
      <alignment vertical="center"/>
    </xf>
    <xf numFmtId="167" fontId="0" fillId="22" borderId="0" xfId="2" applyNumberFormat="1" applyFont="1" applyFill="1"/>
    <xf numFmtId="164" fontId="0" fillId="22" borderId="0" xfId="0" applyNumberFormat="1" applyFill="1"/>
    <xf numFmtId="167" fontId="16" fillId="22" borderId="0" xfId="2" applyNumberFormat="1" applyFont="1" applyFill="1"/>
    <xf numFmtId="0" fontId="17" fillId="24" borderId="86" xfId="0" applyFont="1" applyFill="1" applyBorder="1" applyAlignment="1">
      <alignment horizontal="left" vertical="center"/>
    </xf>
    <xf numFmtId="0" fontId="18" fillId="22" borderId="91" xfId="0" applyFont="1" applyFill="1" applyBorder="1" applyAlignment="1">
      <alignment horizontal="center" vertical="center"/>
    </xf>
    <xf numFmtId="0" fontId="17" fillId="24" borderId="88" xfId="0" applyFont="1" applyFill="1" applyBorder="1"/>
    <xf numFmtId="2" fontId="16" fillId="22" borderId="0" xfId="2" applyNumberFormat="1" applyFont="1" applyFill="1"/>
    <xf numFmtId="0" fontId="17" fillId="24" borderId="0" xfId="0" applyFont="1" applyFill="1" applyBorder="1"/>
    <xf numFmtId="0" fontId="16" fillId="25" borderId="90" xfId="0" applyFont="1" applyFill="1" applyBorder="1"/>
    <xf numFmtId="167" fontId="16" fillId="25" borderId="90" xfId="2" applyNumberFormat="1" applyFont="1" applyFill="1" applyBorder="1"/>
    <xf numFmtId="22" fontId="16" fillId="25" borderId="90" xfId="0" applyNumberFormat="1" applyFont="1" applyFill="1" applyBorder="1"/>
    <xf numFmtId="44" fontId="16" fillId="25" borderId="90" xfId="3" applyNumberFormat="1" applyFont="1" applyFill="1" applyBorder="1"/>
    <xf numFmtId="22" fontId="16" fillId="22" borderId="0" xfId="0" applyNumberFormat="1" applyFont="1" applyFill="1"/>
    <xf numFmtId="44" fontId="16" fillId="22" borderId="0" xfId="3" applyFont="1" applyFill="1"/>
    <xf numFmtId="0" fontId="17" fillId="24" borderId="89" xfId="0" applyFont="1" applyFill="1" applyBorder="1"/>
    <xf numFmtId="164" fontId="14" fillId="22" borderId="0" xfId="1" applyNumberFormat="1" applyFont="1" applyFill="1"/>
    <xf numFmtId="0" fontId="11" fillId="22" borderId="0" xfId="5" applyFont="1" applyFill="1" applyAlignment="1">
      <alignment vertic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0" fillId="5" borderId="40" xfId="0" applyFill="1" applyBorder="1" applyAlignment="1">
      <alignment horizontal="center" vertical="center"/>
    </xf>
    <xf numFmtId="0" fontId="0" fillId="5" borderId="42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0" fillId="4" borderId="43" xfId="0" applyFill="1" applyBorder="1" applyAlignment="1">
      <alignment horizontal="center" vertical="center"/>
    </xf>
    <xf numFmtId="0" fontId="0" fillId="4" borderId="79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80" xfId="0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79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77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5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1" fillId="0" borderId="57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1" fillId="23" borderId="0" xfId="5" applyFont="1" applyFill="1" applyAlignment="1">
      <alignment horizontal="center" vertical="center"/>
    </xf>
    <xf numFmtId="0" fontId="20" fillId="24" borderId="87" xfId="0" applyFont="1" applyFill="1" applyBorder="1"/>
    <xf numFmtId="0" fontId="21" fillId="22" borderId="0" xfId="0" applyFont="1" applyFill="1"/>
    <xf numFmtId="167" fontId="21" fillId="22" borderId="0" xfId="0" applyNumberFormat="1" applyFont="1" applyFill="1"/>
    <xf numFmtId="167" fontId="14" fillId="22" borderId="0" xfId="2" applyNumberFormat="1" applyFont="1" applyFill="1"/>
    <xf numFmtId="167" fontId="14" fillId="22" borderId="0" xfId="0" applyNumberFormat="1" applyFont="1" applyFill="1"/>
    <xf numFmtId="44" fontId="0" fillId="0" borderId="0" xfId="0" applyNumberFormat="1"/>
  </cellXfs>
  <cellStyles count="7">
    <cellStyle name="Accent5" xfId="5" builtinId="45"/>
    <cellStyle name="Comma" xfId="1" builtinId="3"/>
    <cellStyle name="Currency" xfId="3" builtinId="4"/>
    <cellStyle name="Heading 2" xfId="6" builtinId="17"/>
    <cellStyle name="Heading 4" xfId="4" builtinId="19"/>
    <cellStyle name="Normal" xfId="0" builtinId="0"/>
    <cellStyle name="Percent" xfId="2" builtinId="5"/>
  </cellStyles>
  <dxfs count="286">
    <dxf>
      <fill>
        <patternFill>
          <bgColor rgb="FFFB85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46A9D6"/>
        </patternFill>
      </fill>
    </dxf>
    <dxf>
      <fill>
        <patternFill>
          <bgColor rgb="FF00B050"/>
        </patternFill>
      </fill>
    </dxf>
    <dxf>
      <fill>
        <patternFill>
          <bgColor rgb="FFFB85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 patternType="solid">
          <fgColor indexed="64"/>
          <bgColor rgb="FF1D355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indexed="64"/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FAEE"/>
        <name val="Calibri"/>
        <scheme val="minor"/>
      </font>
      <numFmt numFmtId="166" formatCode="m/d/yyyy\ hh:mm:ss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27" formatCode="m/d/yyyy\ h:mm"/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 tint="0.79998168889431442"/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numFmt numFmtId="167" formatCode="0.0%"/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0" formatCode="General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1D3557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0" formatCode="General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2" formatCode="0.00"/>
      <fill>
        <patternFill>
          <bgColor rgb="FF1D3557"/>
        </patternFill>
      </fill>
    </dxf>
    <dxf>
      <numFmt numFmtId="13" formatCode="0%"/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7" formatCode="0.0%"/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0" formatCode="General"/>
      <fill>
        <patternFill>
          <bgColor rgb="FF1D355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/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>
          <bgColor rgb="FF1D3557"/>
        </patternFill>
      </fill>
    </dxf>
    <dxf>
      <font>
        <strike val="0"/>
        <outline val="0"/>
        <shadow val="0"/>
        <u val="none"/>
        <vertAlign val="baseline"/>
        <sz val="11"/>
        <color rgb="FFF1FAEE"/>
        <name val="Calibri"/>
        <scheme val="minor"/>
      </font>
      <numFmt numFmtId="164" formatCode="_(* #,##0_);_(* \(#,##0\);_(* &quot;-&quot;??_);_(@_)"/>
      <fill>
        <patternFill>
          <bgColor rgb="FF1D3557"/>
        </patternFill>
      </fill>
      <border outline="0">
        <left style="thin">
          <color theme="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1FAEE"/>
        <name val="Calibri"/>
        <scheme val="minor"/>
      </font>
      <fill>
        <patternFill patternType="solid">
          <fgColor theme="4"/>
          <bgColor rgb="FF1D355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 style="thick">
          <color theme="0"/>
        </bottom>
      </border>
    </dxf>
    <dxf>
      <fill>
        <patternFill>
          <bgColor rgb="FF1D3557"/>
        </patternFill>
      </fill>
    </dxf>
    <dxf>
      <fill>
        <patternFill>
          <bgColor rgb="FF1D3557"/>
        </patternFill>
      </fill>
    </dxf>
    <dxf>
      <border outline="0">
        <bottom style="thick">
          <color theme="4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1FAEE"/>
        <name val="Calibri"/>
        <scheme val="minor"/>
      </font>
      <fill>
        <patternFill patternType="solid"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164" formatCode="_(* #,##0_);_(* \(#,##0\);_(* &quot;-&quot;??_);_(@_)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numFmt numFmtId="0" formatCode="General"/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F1FAEE"/>
        <name val="Calibri"/>
        <scheme val="minor"/>
      </font>
      <fill>
        <patternFill>
          <fgColor indexed="64"/>
          <bgColor rgb="FF1D3557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1FAEE"/>
        <name val="Calibri"/>
        <scheme val="minor"/>
      </font>
      <alignment horizontal="center" vertical="center" textRotation="0" wrapText="0" indent="0" justifyLastLine="0" shrinkToFit="0" readingOrder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* #,##0.0_);_(* \(#,##0.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/>
      </font>
      <numFmt numFmtId="164" formatCode="_(* #,##0_);_(* \(#,##0\);_(* &quot;-&quot;??_);_(@_)"/>
    </dxf>
    <dxf>
      <font>
        <b/>
      </font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 val="0"/>
      </font>
      <numFmt numFmtId="164" formatCode="_(* #,##0_);_(* \(#,##0\);_(* &quot;-&quot;??_);_(@_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indexed="64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left style="medium">
          <color rgb="FF000000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outline="0">
        <top style="medium">
          <color rgb="FFCCCCCC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double">
          <color indexed="64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double">
          <color indexed="64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double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double">
          <color rgb="FF000000"/>
        </left>
        <right style="double">
          <color indexed="64"/>
        </right>
        <top style="double">
          <color rgb="FF000000"/>
        </top>
        <bottom style="double">
          <color indexed="64"/>
        </bottom>
      </border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center" textRotation="0" wrapText="0" indent="0" justifyLastLine="0" shrinkToFit="0" readingOrder="0"/>
      <border diagonalUp="0" diagonalDown="0">
        <left/>
        <right style="double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double">
          <color rgb="FF000000"/>
        </right>
        <top style="medium">
          <color rgb="FFCCCCCC"/>
        </top>
      </border>
    </dxf>
    <dxf>
      <fill>
        <patternFill patternType="solid">
          <fgColor indexed="64"/>
          <bgColor rgb="FFCFE2F3"/>
        </patternFill>
      </fill>
      <alignment horizontal="center" vertical="center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EFEFE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double">
          <color rgb="FF000000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bottom style="double">
          <color rgb="FF000000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D3557"/>
      <color rgb="FFF1FAEE"/>
      <color rgb="FF457B9D"/>
      <color rgb="FFFB8500"/>
      <color rgb="FF46A9D6"/>
      <color rgb="FF8EC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bg</c:v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C5-4BB3-8533-A2B89137FA1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C5-4BB3-8533-A2B89137FA10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C5-4BB3-8533-A2B89137FA10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C5-4BB3-8533-A2B89137FA10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C5-4BB3-8533-A2B89137FA10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BC5-4BB3-8533-A2B89137FA10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BC5-4BB3-8533-A2B89137FA10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BC5-4BB3-8533-A2B89137FA10}"/>
              </c:ext>
            </c:extLst>
          </c:dPt>
          <c:dPt>
            <c:idx val="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BC5-4BB3-8533-A2B89137FA10}"/>
              </c:ext>
            </c:extLst>
          </c:dPt>
          <c:dPt>
            <c:idx val="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BC5-4BB3-8533-A2B89137FA10}"/>
              </c:ext>
            </c:extLst>
          </c:dPt>
          <c:val>
            <c:numLit>
              <c:formatCode>General</c:formatCode>
              <c:ptCount val="1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F16-4C9B-8FBD-BD5AEC48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v>Inventory</c:v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F16-4C9B-8FBD-BD5AEC48F37C}"/>
              </c:ext>
            </c:extLst>
          </c:dPt>
          <c:dPt>
            <c:idx val="1"/>
            <c:bubble3D val="0"/>
            <c:spPr>
              <a:solidFill>
                <a:schemeClr val="bg1">
                  <a:alpha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16-4C9B-8FBD-BD5AEC48F37C}"/>
              </c:ext>
            </c:extLst>
          </c:dPt>
          <c:val>
            <c:numRef>
              <c:f>Shipping!$H$6:$H$7</c:f>
              <c:numCache>
                <c:formatCode>0%</c:formatCode>
                <c:ptCount val="2"/>
                <c:pt idx="0">
                  <c:v>0.1474</c:v>
                </c:pt>
                <c:pt idx="1">
                  <c:v>0.85260000000000002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16-4C9B-8FBD-BD5AEC48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(Inventory!$A$5:$A$17,Inventory!$A$52:$A$59,Inventory!$A$62)</c:f>
              <c:strCache>
                <c:ptCount val="4"/>
                <c:pt idx="0">
                  <c:v>copper</c:v>
                </c:pt>
                <c:pt idx="1">
                  <c:v>glass</c:v>
                </c:pt>
                <c:pt idx="2">
                  <c:v>phoneframe</c:v>
                </c:pt>
                <c:pt idx="3">
                  <c:v>Empty Space</c:v>
                </c:pt>
              </c:strCache>
            </c:strRef>
          </c:cat>
          <c:val>
            <c:numRef>
              <c:f>(Inventory!$C$5:$C$17,Inventory!$C$52:$C$59,Inventory!$C$62)</c:f>
              <c:numCache>
                <c:formatCode>0.0%</c:formatCode>
                <c:ptCount val="4"/>
                <c:pt idx="0">
                  <c:v>1.7000000000000001E-2</c:v>
                </c:pt>
                <c:pt idx="1">
                  <c:v>8.0000000000000002E-3</c:v>
                </c:pt>
                <c:pt idx="2">
                  <c:v>0.12239999999999999</c:v>
                </c:pt>
                <c:pt idx="3">
                  <c:v>0.85260000000000002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F-41FA-A1F4-F6B27AB21679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10</xdr:row>
      <xdr:rowOff>20320</xdr:rowOff>
    </xdr:from>
    <xdr:to>
      <xdr:col>6</xdr:col>
      <xdr:colOff>40640</xdr:colOff>
      <xdr:row>12</xdr:row>
      <xdr:rowOff>111760</xdr:rowOff>
    </xdr:to>
    <xdr:sp macro="[0]!Add" textlink="">
      <xdr:nvSpPr>
        <xdr:cNvPr id="2" name="Rounded Rectangle 1"/>
        <xdr:cNvSpPr/>
      </xdr:nvSpPr>
      <xdr:spPr>
        <a:xfrm>
          <a:off x="7741920" y="2336800"/>
          <a:ext cx="1270000" cy="558800"/>
        </a:xfrm>
        <a:prstGeom prst="roundRect">
          <a:avLst/>
        </a:prstGeom>
        <a:gradFill>
          <a:gsLst>
            <a:gs pos="0">
              <a:srgbClr val="8ECAE6"/>
            </a:gs>
            <a:gs pos="50000">
              <a:schemeClr val="accent5">
                <a:satMod val="110000"/>
                <a:lumMod val="100000"/>
                <a:shade val="100000"/>
              </a:schemeClr>
            </a:gs>
            <a:gs pos="100000">
              <a:srgbClr val="457B9D"/>
            </a:gs>
          </a:gsLst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Transport</a:t>
          </a:r>
        </a:p>
      </xdr:txBody>
    </xdr:sp>
    <xdr:clientData/>
  </xdr:twoCellAnchor>
  <xdr:twoCellAnchor editAs="absolute">
    <xdr:from>
      <xdr:col>10</xdr:col>
      <xdr:colOff>203200</xdr:colOff>
      <xdr:row>18</xdr:row>
      <xdr:rowOff>119380</xdr:rowOff>
    </xdr:from>
    <xdr:to>
      <xdr:col>11</xdr:col>
      <xdr:colOff>784860</xdr:colOff>
      <xdr:row>21</xdr:row>
      <xdr:rowOff>20320</xdr:rowOff>
    </xdr:to>
    <xdr:sp macro="[0]!Update" textlink="">
      <xdr:nvSpPr>
        <xdr:cNvPr id="3" name="Rounded Rectangle 2"/>
        <xdr:cNvSpPr/>
      </xdr:nvSpPr>
      <xdr:spPr>
        <a:xfrm>
          <a:off x="14274800" y="4183380"/>
          <a:ext cx="1201420" cy="52070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Update</a:t>
          </a:r>
        </a:p>
      </xdr:txBody>
    </xdr:sp>
    <xdr:clientData/>
  </xdr:twoCellAnchor>
  <xdr:twoCellAnchor>
    <xdr:from>
      <xdr:col>6</xdr:col>
      <xdr:colOff>751840</xdr:colOff>
      <xdr:row>2</xdr:row>
      <xdr:rowOff>182880</xdr:rowOff>
    </xdr:from>
    <xdr:to>
      <xdr:col>8</xdr:col>
      <xdr:colOff>220980</xdr:colOff>
      <xdr:row>14</xdr:row>
      <xdr:rowOff>111760</xdr:rowOff>
    </xdr:to>
    <xdr:grpSp>
      <xdr:nvGrpSpPr>
        <xdr:cNvPr id="16" name="Group 15"/>
        <xdr:cNvGrpSpPr/>
      </xdr:nvGrpSpPr>
      <xdr:grpSpPr>
        <a:xfrm>
          <a:off x="9966960" y="690880"/>
          <a:ext cx="2313940" cy="2672080"/>
          <a:chOff x="12232640" y="873760"/>
          <a:chExt cx="2009140" cy="2672080"/>
        </a:xfrm>
      </xdr:grpSpPr>
      <xdr:grpSp>
        <xdr:nvGrpSpPr>
          <xdr:cNvPr id="13" name="Group 12"/>
          <xdr:cNvGrpSpPr/>
        </xdr:nvGrpSpPr>
        <xdr:grpSpPr>
          <a:xfrm>
            <a:off x="12232640" y="1046480"/>
            <a:ext cx="2009140" cy="2499360"/>
            <a:chOff x="12273280" y="1127760"/>
            <a:chExt cx="2009140" cy="2499360"/>
          </a:xfrm>
        </xdr:grpSpPr>
        <xdr:graphicFrame macro="">
          <xdr:nvGraphicFramePr>
            <xdr:cNvPr id="9" name="Chart 8"/>
            <xdr:cNvGraphicFramePr/>
          </xdr:nvGraphicFramePr>
          <xdr:xfrm>
            <a:off x="12273280" y="1127760"/>
            <a:ext cx="2009140" cy="24993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$H$6">
          <xdr:nvSpPr>
            <xdr:cNvPr id="12" name="Oval 11"/>
            <xdr:cNvSpPr/>
          </xdr:nvSpPr>
          <xdr:spPr>
            <a:xfrm>
              <a:off x="12810490" y="1910080"/>
              <a:ext cx="934720" cy="934720"/>
            </a:xfrm>
            <a:prstGeom prst="ellipse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A978330-F947-4C28-AFF2-4D56425D3271}" type="TxLink">
                <a:rPr lang="en-US" sz="2000" b="1" i="0" u="none" strike="noStrike">
                  <a:ln>
                    <a:noFill/>
                  </a:ln>
                  <a:solidFill>
                    <a:srgbClr val="F1FAEE"/>
                  </a:solidFill>
                  <a:latin typeface="Calibri"/>
                  <a:cs typeface="Calibri"/>
                </a:rPr>
                <a:pPr algn="ctr"/>
                <a:t>15%</a:t>
              </a:fld>
              <a:endParaRPr lang="en-US" sz="2000" b="1">
                <a:ln>
                  <a:noFill/>
                </a:ln>
                <a:solidFill>
                  <a:srgbClr val="F1FAEE"/>
                </a:solidFill>
              </a:endParaRPr>
            </a:p>
          </xdr:txBody>
        </xdr:sp>
      </xdr:grpSp>
      <xdr:sp macro="" textlink="">
        <xdr:nvSpPr>
          <xdr:cNvPr id="15" name="Rectangle 14"/>
          <xdr:cNvSpPr/>
        </xdr:nvSpPr>
        <xdr:spPr>
          <a:xfrm>
            <a:off x="12444730" y="873760"/>
            <a:ext cx="1584960" cy="4978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rgbClr val="F1FAEE"/>
                </a:solidFill>
              </a:rPr>
              <a:t>Inventory Preview</a:t>
            </a:r>
          </a:p>
        </xdr:txBody>
      </xdr:sp>
    </xdr:grpSp>
    <xdr:clientData/>
  </xdr:twoCellAnchor>
  <xdr:twoCellAnchor>
    <xdr:from>
      <xdr:col>10</xdr:col>
      <xdr:colOff>345440</xdr:colOff>
      <xdr:row>14</xdr:row>
      <xdr:rowOff>71120</xdr:rowOff>
    </xdr:from>
    <xdr:to>
      <xdr:col>11</xdr:col>
      <xdr:colOff>1402080</xdr:colOff>
      <xdr:row>17</xdr:row>
      <xdr:rowOff>0</xdr:rowOff>
    </xdr:to>
    <xdr:sp macro="[0]!Auto_Calculate" textlink="">
      <xdr:nvSpPr>
        <xdr:cNvPr id="17" name="Rounded Rectangle 16"/>
        <xdr:cNvSpPr/>
      </xdr:nvSpPr>
      <xdr:spPr>
        <a:xfrm>
          <a:off x="14274800" y="3322320"/>
          <a:ext cx="1676400" cy="558800"/>
        </a:xfrm>
        <a:prstGeom prst="roundRect">
          <a:avLst/>
        </a:prstGeom>
        <a:gradFill>
          <a:gsLst>
            <a:gs pos="0">
              <a:srgbClr val="8ECAE6"/>
            </a:gs>
            <a:gs pos="50000">
              <a:schemeClr val="accent5">
                <a:satMod val="110000"/>
                <a:lumMod val="100000"/>
                <a:shade val="100000"/>
              </a:schemeClr>
            </a:gs>
            <a:gs pos="100000">
              <a:srgbClr val="457B9D"/>
            </a:gs>
          </a:gsLst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Auto 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528124</xdr:colOff>
      <xdr:row>37</xdr:row>
      <xdr:rowOff>169399</xdr:rowOff>
    </xdr:from>
    <xdr:to>
      <xdr:col>9</xdr:col>
      <xdr:colOff>352864</xdr:colOff>
      <xdr:row>40</xdr:row>
      <xdr:rowOff>44548</xdr:rowOff>
    </xdr:to>
    <xdr:sp macro="[0]!Production1" textlink="">
      <xdr:nvSpPr>
        <xdr:cNvPr id="4" name="Rounded Rectangle 3"/>
        <xdr:cNvSpPr>
          <a:spLocks/>
        </xdr:cNvSpPr>
      </xdr:nvSpPr>
      <xdr:spPr>
        <a:xfrm>
          <a:off x="8559604" y="5404339"/>
          <a:ext cx="1059180" cy="423789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Produce</a:t>
          </a:r>
        </a:p>
      </xdr:txBody>
    </xdr:sp>
    <xdr:clientData/>
  </xdr:twoCellAnchor>
  <xdr:twoCellAnchor editAs="oneCell">
    <xdr:from>
      <xdr:col>8</xdr:col>
      <xdr:colOff>543364</xdr:colOff>
      <xdr:row>44</xdr:row>
      <xdr:rowOff>1758</xdr:rowOff>
    </xdr:from>
    <xdr:to>
      <xdr:col>9</xdr:col>
      <xdr:colOff>368104</xdr:colOff>
      <xdr:row>46</xdr:row>
      <xdr:rowOff>55098</xdr:rowOff>
    </xdr:to>
    <xdr:sp macro="[0]!Production2" textlink="">
      <xdr:nvSpPr>
        <xdr:cNvPr id="8" name="Rounded Rectangle 7"/>
        <xdr:cNvSpPr>
          <a:spLocks/>
        </xdr:cNvSpPr>
      </xdr:nvSpPr>
      <xdr:spPr>
        <a:xfrm>
          <a:off x="8574844" y="6600678"/>
          <a:ext cx="1059180" cy="41910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Produce</a:t>
          </a:r>
        </a:p>
      </xdr:txBody>
    </xdr:sp>
    <xdr:clientData/>
  </xdr:twoCellAnchor>
  <xdr:twoCellAnchor editAs="oneCell">
    <xdr:from>
      <xdr:col>3</xdr:col>
      <xdr:colOff>984886</xdr:colOff>
      <xdr:row>50</xdr:row>
      <xdr:rowOff>85725</xdr:rowOff>
    </xdr:from>
    <xdr:to>
      <xdr:col>4</xdr:col>
      <xdr:colOff>752476</xdr:colOff>
      <xdr:row>59</xdr:row>
      <xdr:rowOff>139065</xdr:rowOff>
    </xdr:to>
    <xdr:sp macro="[0]!Module4.ProductInventory" textlink="">
      <xdr:nvSpPr>
        <xdr:cNvPr id="5" name="Rounded Rectangle 4"/>
        <xdr:cNvSpPr>
          <a:spLocks/>
        </xdr:cNvSpPr>
      </xdr:nvSpPr>
      <xdr:spPr>
        <a:xfrm>
          <a:off x="4213861" y="6229350"/>
          <a:ext cx="910590" cy="41529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Update</a:t>
          </a:r>
        </a:p>
      </xdr:txBody>
    </xdr:sp>
    <xdr:clientData/>
  </xdr:twoCellAnchor>
  <xdr:twoCellAnchor>
    <xdr:from>
      <xdr:col>9</xdr:col>
      <xdr:colOff>721360</xdr:colOff>
      <xdr:row>0</xdr:row>
      <xdr:rowOff>0</xdr:rowOff>
    </xdr:from>
    <xdr:to>
      <xdr:col>18</xdr:col>
      <xdr:colOff>50800</xdr:colOff>
      <xdr:row>48</xdr:row>
      <xdr:rowOff>124460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603886</xdr:colOff>
      <xdr:row>50</xdr:row>
      <xdr:rowOff>114300</xdr:rowOff>
    </xdr:from>
    <xdr:to>
      <xdr:col>8</xdr:col>
      <xdr:colOff>514351</xdr:colOff>
      <xdr:row>59</xdr:row>
      <xdr:rowOff>167640</xdr:rowOff>
    </xdr:to>
    <xdr:sp macro="[0]!Sell" textlink="">
      <xdr:nvSpPr>
        <xdr:cNvPr id="11" name="Rounded Rectangle 10"/>
        <xdr:cNvSpPr>
          <a:spLocks/>
        </xdr:cNvSpPr>
      </xdr:nvSpPr>
      <xdr:spPr>
        <a:xfrm>
          <a:off x="8376286" y="6257925"/>
          <a:ext cx="910590" cy="41529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  <a:softEdge rad="3175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  <a:latin typeface="+mn-lt"/>
            </a:rPr>
            <a:t>Sell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3" name="MatVolPrice" displayName="MatVolPrice" ref="B1:J31" totalsRowShown="0" headerRowDxfId="285" headerRowBorderDxfId="284" tableBorderDxfId="283" totalsRowBorderDxfId="282">
  <autoFilter ref="B1:J31"/>
  <tableColumns count="9">
    <tableColumn id="1" name="Level" dataDxfId="281"/>
    <tableColumn id="2" name="Product Name" dataDxfId="280"/>
    <tableColumn id="3" name="Production Group" dataDxfId="279"/>
    <tableColumn id="4" name="Production Rate_x000a_ (for 1 game day ~ 8seconds)" dataDxfId="278"/>
    <tableColumn id="5" name="1 Unit Volume" dataDxfId="277"/>
    <tableColumn id="6" name="Fixed Cost" dataDxfId="276"/>
    <tableColumn id="7" name="Variable Cost"/>
    <tableColumn id="8" name="Min Price" dataDxfId="275"/>
    <tableColumn id="9" name="Max Price" dataDxfId="2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midL1" displayName="midL1" ref="C6:P14" totalsRowShown="0" headerRowDxfId="273" dataDxfId="271" headerRowBorderDxfId="272" tableBorderDxfId="270" totalsRowBorderDxfId="269">
  <autoFilter ref="C6:P14"/>
  <tableColumns count="14">
    <tableColumn id="1" name="Product Name" dataDxfId="268"/>
    <tableColumn id="2" name="aluminium" dataDxfId="267"/>
    <tableColumn id="3" name="chips" dataDxfId="266"/>
    <tableColumn id="4" name="cobalt" dataDxfId="265"/>
    <tableColumn id="5" name="copper" dataDxfId="264"/>
    <tableColumn id="6" name="glass" dataDxfId="263"/>
    <tableColumn id="7" name="lithium" dataDxfId="262"/>
    <tableColumn id="8" name="microphone" dataDxfId="261"/>
    <tableColumn id="9" name="plastic" dataDxfId="260"/>
    <tableColumn id="10" name="ports" dataDxfId="259"/>
    <tableColumn id="11" name="processors" dataDxfId="258"/>
    <tableColumn id="12" name="silicon" dataDxfId="257"/>
    <tableColumn id="13" name="speaker" dataDxfId="256"/>
    <tableColumn id="14" name="VibrationMotor" dataDxfId="2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midL2" displayName="midL2" ref="C19:Q25" totalsRowShown="0" headerRowDxfId="254" headerRowBorderDxfId="253" tableBorderDxfId="252" totalsRowBorderDxfId="251">
  <autoFilter ref="C19:Q25"/>
  <tableColumns count="15">
    <tableColumn id="1" name="Product Name" dataDxfId="250"/>
    <tableColumn id="2" name="chips" dataDxfId="249"/>
    <tableColumn id="3" name="microphone" dataDxfId="248"/>
    <tableColumn id="4" name="ports" dataDxfId="247"/>
    <tableColumn id="5" name="processors" dataDxfId="246"/>
    <tableColumn id="6" name="speaker" dataDxfId="245"/>
    <tableColumn id="7" name="Vibration Motor" dataDxfId="244"/>
    <tableColumn id="8" name="modem2g" dataDxfId="243"/>
    <tableColumn id="9" name="displaywithkeypad" dataDxfId="242"/>
    <tableColumn id="10" name="phonebattery" dataDxfId="241"/>
    <tableColumn id="11" name="phoneframekeypad" dataDxfId="240"/>
    <tableColumn id="12" name="camera" dataDxfId="239"/>
    <tableColumn id="13" name="modem3g" dataDxfId="238"/>
    <tableColumn id="14" name="phoneframe" dataDxfId="237"/>
    <tableColumn id="15" name="touchdisplay" dataDxfId="2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ransportation_tbl" displayName="Transportation_tbl" ref="B1:D4" totalsRowShown="0" headerRowDxfId="235" headerRowBorderDxfId="234" tableBorderDxfId="233" totalsRowBorderDxfId="232">
  <autoFilter ref="B1:D4"/>
  <tableColumns count="3">
    <tableColumn id="1" name="Transportation"/>
    <tableColumn id="2" name="Fixed Cost"/>
    <tableColumn id="3" name="Variable Co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ransDist_tbl" displayName="TransDist_tbl" ref="B6:E9" totalsRowShown="0" headerRowBorderDxfId="231" tableBorderDxfId="230">
  <autoFilter ref="B6:E9"/>
  <tableColumns count="4">
    <tableColumn id="1" name="distance" dataDxfId="229"/>
    <tableColumn id="2" name="airplane" dataDxfId="228"/>
    <tableColumn id="3" name="ship" dataDxfId="227"/>
    <tableColumn id="4" name="Truck" dataDxfId="22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Distance_tbl" displayName="Distance_tbl" ref="A3:I11" totalsRowShown="0" dataDxfId="225">
  <autoFilter ref="A3:I11"/>
  <tableColumns count="9">
    <tableColumn id="1" name="States" dataDxfId="224"/>
    <tableColumn id="2" name="1" dataDxfId="223"/>
    <tableColumn id="3" name="2" dataDxfId="222"/>
    <tableColumn id="4" name="3" dataDxfId="221"/>
    <tableColumn id="5" name="4" dataDxfId="220"/>
    <tableColumn id="6" name="5" dataDxfId="219"/>
    <tableColumn id="7" name="6" dataDxfId="218"/>
    <tableColumn id="8" name="7" dataDxfId="217"/>
    <tableColumn id="9" name="8" dataDxfId="216"/>
  </tableColumns>
  <tableStyleInfo name="TableStyleMedium9" showFirstColumn="1" showLastColumn="0" showRowStripes="1" showColumnStripes="0"/>
</table>
</file>

<file path=xl/tables/table7.xml><?xml version="1.0" encoding="utf-8"?>
<table xmlns="http://schemas.openxmlformats.org/spreadsheetml/2006/main" id="3" name="Inventory_State" displayName="Inventory_State" ref="A15:I28" totalsRowShown="0">
  <autoFilter ref="A15:I28"/>
  <tableColumns count="9">
    <tableColumn id="1" name="Resorce/State"/>
    <tableColumn id="2" name="1" dataDxfId="215"/>
    <tableColumn id="3" name="2" dataDxfId="214"/>
    <tableColumn id="4" name="3" dataDxfId="213"/>
    <tableColumn id="5" name="4" dataDxfId="212"/>
    <tableColumn id="6" name="5" dataDxfId="211"/>
    <tableColumn id="7" name="6" dataDxfId="210"/>
    <tableColumn id="8" name="7" dataDxfId="209"/>
    <tableColumn id="9" name="8" dataDxfId="208"/>
  </tableColumns>
  <tableStyleInfo name="TableStyleMedium9" showFirstColumn="1" showLastColumn="0" showRowStripes="1" showColumnStripes="0"/>
</table>
</file>

<file path=xl/tables/table8.xml><?xml version="1.0" encoding="utf-8"?>
<table xmlns="http://schemas.openxmlformats.org/spreadsheetml/2006/main" id="4" name="ShippCost" displayName="ShippCost" ref="A34:K47" totalsRowShown="0">
  <autoFilter ref="A34:K47"/>
  <tableColumns count="11">
    <tableColumn id="1" name="Resource/State"/>
    <tableColumn id="2" name="1" dataDxfId="207" dataCellStyle="Comma">
      <calculatedColumnFormula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calculatedColumnFormula>
    </tableColumn>
    <tableColumn id="3" name="2" dataDxfId="206" dataCellStyle="Comma">
      <calculatedColumnFormula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calculatedColumnFormula>
    </tableColumn>
    <tableColumn id="4" name="3" dataDxfId="205" dataCellStyle="Comma">
      <calculatedColumnFormula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calculatedColumnFormula>
    </tableColumn>
    <tableColumn id="5" name="4" dataDxfId="204" dataCellStyle="Comma">
      <calculatedColumnFormula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calculatedColumnFormula>
    </tableColumn>
    <tableColumn id="6" name="5" dataDxfId="203" dataCellStyle="Comma">
      <calculatedColumnFormula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calculatedColumnFormula>
    </tableColumn>
    <tableColumn id="7" name="6" dataDxfId="202" dataCellStyle="Comma">
      <calculatedColumnFormula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calculatedColumnFormula>
    </tableColumn>
    <tableColumn id="8" name="7" dataDxfId="201" dataCellStyle="Comma">
      <calculatedColumnFormula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calculatedColumnFormula>
    </tableColumn>
    <tableColumn id="9" name="8" dataDxfId="200" dataCellStyle="Comma">
      <calculatedColumnFormula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calculatedColumnFormula>
    </tableColumn>
    <tableColumn id="11" name="Min State" dataDxfId="199">
      <calculatedColumnFormula>MATCH(ShippCost[[#This Row],[Min]],ShippCost[[#This Row],[1]:[8]],0)</calculatedColumnFormula>
    </tableColumn>
    <tableColumn id="12" name="Min" dataDxfId="198" dataCellStyle="Comma">
      <calculatedColumnFormula>MIN(ShippCost[[#This Row],[1]:[8]])</calculatedColumnFormula>
    </tableColumn>
  </tableColumns>
  <tableStyleInfo name="TableStyleMedium9" showFirstColumn="1" showLastColumn="0" showRowStripes="1" showColumnStripes="0"/>
</table>
</file>

<file path=xl/tables/table9.xml><?xml version="1.0" encoding="utf-8"?>
<table xmlns="http://schemas.openxmlformats.org/spreadsheetml/2006/main" id="11" name="PrShipCost_tbl" displayName="PrShipCost_tbl" ref="A53:O61" totalsRowShown="0">
  <autoFilter ref="A53:O61"/>
  <tableColumns count="15">
    <tableColumn id="1" name="Product Name"/>
    <tableColumn id="2" name="aluminium" dataDxfId="197" dataCellStyle="Comma">
      <calculatedColumnFormula>IF(INDEX(midL1[[aluminium]:[VibrationMotor]],MATCH($A54,midL1[[Product Name]:[Product Name]],0),B$52)&gt;0,INDEX(ShippCost[[Min]:[Min]],MATCH(B$53,ShippCost[[Resource/State]:[Resource/State]],0),1),0)</calculatedColumnFormula>
    </tableColumn>
    <tableColumn id="3" name="chips" dataDxfId="196" dataCellStyle="Comma">
      <calculatedColumnFormula>IF(INDEX(midL1[[aluminium]:[VibrationMotor]],MATCH($A54,midL1[[Product Name]:[Product Name]],0),C$52)&gt;0,INDEX(ShippCost[[Min]:[Min]],MATCH(C$53,ShippCost[[Resource/State]:[Resource/State]],0),1),0)</calculatedColumnFormula>
    </tableColumn>
    <tableColumn id="4" name="cobalt" dataDxfId="195" dataCellStyle="Comma">
      <calculatedColumnFormula>IF(INDEX(midL1[[aluminium]:[VibrationMotor]],MATCH($A54,midL1[[Product Name]:[Product Name]],0),D$52)&gt;0,INDEX(ShippCost[[Min]:[Min]],MATCH(D$53,ShippCost[[Resource/State]:[Resource/State]],0),1),0)</calculatedColumnFormula>
    </tableColumn>
    <tableColumn id="5" name="copper" dataDxfId="194" dataCellStyle="Comma">
      <calculatedColumnFormula>IF(INDEX(midL1[[aluminium]:[VibrationMotor]],MATCH($A54,midL1[[Product Name]:[Product Name]],0),E$52)&gt;0,INDEX(ShippCost[[Min]:[Min]],MATCH(E$53,ShippCost[[Resource/State]:[Resource/State]],0),1),0)</calculatedColumnFormula>
    </tableColumn>
    <tableColumn id="6" name="glass" dataDxfId="193" dataCellStyle="Comma">
      <calculatedColumnFormula>IF(INDEX(midL1[[aluminium]:[VibrationMotor]],MATCH($A54,midL1[[Product Name]:[Product Name]],0),F$52)&gt;0,INDEX(ShippCost[[Min]:[Min]],MATCH(F$53,ShippCost[[Resource/State]:[Resource/State]],0),1),0)</calculatedColumnFormula>
    </tableColumn>
    <tableColumn id="7" name="lithium" dataDxfId="192" dataCellStyle="Comma">
      <calculatedColumnFormula>IF(INDEX(midL1[[aluminium]:[VibrationMotor]],MATCH($A54,midL1[[Product Name]:[Product Name]],0),G$52)&gt;0,INDEX(ShippCost[[Min]:[Min]],MATCH(G$53,ShippCost[[Resource/State]:[Resource/State]],0),1),0)</calculatedColumnFormula>
    </tableColumn>
    <tableColumn id="8" name="microphone" dataDxfId="191" dataCellStyle="Comma">
      <calculatedColumnFormula>IF(INDEX(midL1[[aluminium]:[VibrationMotor]],MATCH($A54,midL1[[Product Name]:[Product Name]],0),H$52)&gt;0,INDEX(ShippCost[[Min]:[Min]],MATCH(H$53,ShippCost[[Resource/State]:[Resource/State]],0),1),0)</calculatedColumnFormula>
    </tableColumn>
    <tableColumn id="9" name="plastic" dataDxfId="190" dataCellStyle="Comma">
      <calculatedColumnFormula>IF(INDEX(midL1[[aluminium]:[VibrationMotor]],MATCH($A54,midL1[[Product Name]:[Product Name]],0),I$52)&gt;0,INDEX(ShippCost[[Min]:[Min]],MATCH(I$53,ShippCost[[Resource/State]:[Resource/State]],0),1),0)</calculatedColumnFormula>
    </tableColumn>
    <tableColumn id="10" name="ports" dataDxfId="189" dataCellStyle="Comma">
      <calculatedColumnFormula>IF(INDEX(midL1[[aluminium]:[VibrationMotor]],MATCH($A54,midL1[[Product Name]:[Product Name]],0),J$52)&gt;0,INDEX(ShippCost[[Min]:[Min]],MATCH(J$53,ShippCost[[Resource/State]:[Resource/State]],0),1),0)</calculatedColumnFormula>
    </tableColumn>
    <tableColumn id="11" name="processors" dataDxfId="188" dataCellStyle="Comma">
      <calculatedColumnFormula>IF(INDEX(midL1[[aluminium]:[VibrationMotor]],MATCH($A54,midL1[[Product Name]:[Product Name]],0),K$52)&gt;0,INDEX(ShippCost[[Min]:[Min]],MATCH(K$53,ShippCost[[Resource/State]:[Resource/State]],0),1),0)</calculatedColumnFormula>
    </tableColumn>
    <tableColumn id="12" name="silicon" dataDxfId="187" dataCellStyle="Comma">
      <calculatedColumnFormula>IF(INDEX(midL1[[aluminium]:[VibrationMotor]],MATCH($A54,midL1[[Product Name]:[Product Name]],0),L$52)&gt;0,INDEX(ShippCost[[Min]:[Min]],MATCH(L$53,ShippCost[[Resource/State]:[Resource/State]],0),1),0)</calculatedColumnFormula>
    </tableColumn>
    <tableColumn id="13" name="speaker" dataDxfId="186" dataCellStyle="Comma">
      <calculatedColumnFormula>IF(INDEX(midL1[[aluminium]:[VibrationMotor]],MATCH($A54,midL1[[Product Name]:[Product Name]],0),M$52)&gt;0,INDEX(ShippCost[[Min]:[Min]],MATCH(M$53,ShippCost[[Resource/State]:[Resource/State]],0),1),0)</calculatedColumnFormula>
    </tableColumn>
    <tableColumn id="14" name="VibrationMotor" dataDxfId="185" dataCellStyle="Comma">
      <calculatedColumnFormula>IF(INDEX(midL1[[aluminium]:[VibrationMotor]],MATCH($A54,midL1[[Product Name]:[Product Name]],0),N$52)&gt;0,INDEX(ShippCost[[Min]:[Min]],MATCH(N$53,ShippCost[[Resource/State]:[Resource/State]],0),1),0)</calculatedColumnFormula>
    </tableColumn>
    <tableColumn id="15" name="ShipCost" dataDxfId="184" dataCellStyle="Comma">
      <calculatedColumnFormula>SUM(PrShipCost_tbl[[#This Row],[aluminium]:[VibrationMotor]])</calculatedColumnFormula>
    </tableColumn>
  </tableColumns>
  <tableStyleInfo name="TableStyleMedium9" showFirstColumn="1" showLastColumn="1" showRowStripes="1" showColumnStripes="0"/>
</table>
</file>

<file path=xl/tables/table10.xml><?xml version="1.0" encoding="utf-8"?>
<table xmlns="http://schemas.openxmlformats.org/spreadsheetml/2006/main" id="15" name="PrMatAmt" displayName="PrMatAmt" ref="A66:N74" totalsRowShown="0">
  <autoFilter ref="A66:N74"/>
  <tableColumns count="14">
    <tableColumn id="1" name="Product Name"/>
    <tableColumn id="2" name="aluminium" dataDxfId="183" dataCellStyle="Comma">
      <calculatedColumnFormula>INDEX(midL1[[aluminium]:[VibrationMotor]],MATCH(PrMatAmt[[Product Name]:[Product Name]],midL1[[Product Name]:[Product Name]],0),MATCH(PrMatAmt[[#Headers],[aluminium]],midL1[[#Headers],[aluminium]:[VibrationMotor]],0))*$Q$2</calculatedColumnFormula>
    </tableColumn>
    <tableColumn id="3" name="chips" dataDxfId="182" dataCellStyle="Comma">
      <calculatedColumnFormula>INDEX(midL1[[aluminium]:[VibrationMotor]],MATCH(PrMatAmt[[Product Name]:[Product Name]],midL1[[Product Name]:[Product Name]],0),MATCH(PrMatAmt[[#Headers],[chips]],midL1[[#Headers],[aluminium]:[VibrationMotor]],0))*$Q$2</calculatedColumnFormula>
    </tableColumn>
    <tableColumn id="4" name="cobalt" dataDxfId="181" dataCellStyle="Comma">
      <calculatedColumnFormula>INDEX(midL1[[aluminium]:[VibrationMotor]],MATCH(PrMatAmt[[Product Name]:[Product Name]],midL1[[Product Name]:[Product Name]],0),MATCH(PrMatAmt[[#Headers],[cobalt]],midL1[[#Headers],[aluminium]:[VibrationMotor]],0))*$Q$2</calculatedColumnFormula>
    </tableColumn>
    <tableColumn id="5" name="copper" dataDxfId="180" dataCellStyle="Comma">
      <calculatedColumnFormula>INDEX(midL1[[aluminium]:[VibrationMotor]],MATCH(PrMatAmt[[Product Name]:[Product Name]],midL1[[Product Name]:[Product Name]],0),MATCH(PrMatAmt[[#Headers],[copper]],midL1[[#Headers],[aluminium]:[VibrationMotor]],0))*$Q$2</calculatedColumnFormula>
    </tableColumn>
    <tableColumn id="6" name="glass" dataDxfId="179" dataCellStyle="Comma">
      <calculatedColumnFormula>INDEX(midL1[[aluminium]:[VibrationMotor]],MATCH(PrMatAmt[[Product Name]:[Product Name]],midL1[[Product Name]:[Product Name]],0),MATCH(PrMatAmt[[#Headers],[glass]],midL1[[#Headers],[aluminium]:[VibrationMotor]],0))*$Q$2</calculatedColumnFormula>
    </tableColumn>
    <tableColumn id="7" name="lithium" dataDxfId="178" dataCellStyle="Comma">
      <calculatedColumnFormula>INDEX(midL1[[aluminium]:[VibrationMotor]],MATCH(PrMatAmt[[Product Name]:[Product Name]],midL1[[Product Name]:[Product Name]],0),MATCH(PrMatAmt[[#Headers],[lithium]],midL1[[#Headers],[aluminium]:[VibrationMotor]],0))*$Q$2</calculatedColumnFormula>
    </tableColumn>
    <tableColumn id="8" name="microphone" dataDxfId="177" dataCellStyle="Comma">
      <calculatedColumnFormula>INDEX(midL1[[aluminium]:[VibrationMotor]],MATCH(PrMatAmt[[Product Name]:[Product Name]],midL1[[Product Name]:[Product Name]],0),MATCH(PrMatAmt[[#Headers],[microphone]],midL1[[#Headers],[aluminium]:[VibrationMotor]],0))*$Q$2</calculatedColumnFormula>
    </tableColumn>
    <tableColumn id="9" name="plastic" dataDxfId="176" dataCellStyle="Comma">
      <calculatedColumnFormula>INDEX(midL1[[aluminium]:[VibrationMotor]],MATCH(PrMatAmt[[Product Name]:[Product Name]],midL1[[Product Name]:[Product Name]],0),MATCH(PrMatAmt[[#Headers],[plastic]],midL1[[#Headers],[aluminium]:[VibrationMotor]],0))*$Q$2</calculatedColumnFormula>
    </tableColumn>
    <tableColumn id="10" name="ports" dataDxfId="175" dataCellStyle="Comma">
      <calculatedColumnFormula>INDEX(midL1[[aluminium]:[VibrationMotor]],MATCH(PrMatAmt[[Product Name]:[Product Name]],midL1[[Product Name]:[Product Name]],0),MATCH(PrMatAmt[[#Headers],[ports]],midL1[[#Headers],[aluminium]:[VibrationMotor]],0))*$Q$2</calculatedColumnFormula>
    </tableColumn>
    <tableColumn id="11" name="processors" dataDxfId="174" dataCellStyle="Comma">
      <calculatedColumnFormula>INDEX(midL1[[aluminium]:[VibrationMotor]],MATCH(PrMatAmt[[Product Name]:[Product Name]],midL1[[Product Name]:[Product Name]],0),MATCH(PrMatAmt[[#Headers],[processors]],midL1[[#Headers],[aluminium]:[VibrationMotor]],0))*$Q$2</calculatedColumnFormula>
    </tableColumn>
    <tableColumn id="12" name="silicon" dataDxfId="173" dataCellStyle="Comma">
      <calculatedColumnFormula>INDEX(midL1[[aluminium]:[VibrationMotor]],MATCH(PrMatAmt[[Product Name]:[Product Name]],midL1[[Product Name]:[Product Name]],0),MATCH(PrMatAmt[[#Headers],[silicon]],midL1[[#Headers],[aluminium]:[VibrationMotor]],0))*$Q$2</calculatedColumnFormula>
    </tableColumn>
    <tableColumn id="13" name="speaker" dataDxfId="172" dataCellStyle="Comma">
      <calculatedColumnFormula>INDEX(midL1[[aluminium]:[VibrationMotor]],MATCH(PrMatAmt[[Product Name]:[Product Name]],midL1[[Product Name]:[Product Name]],0),MATCH(PrMatAmt[[#Headers],[speaker]],midL1[[#Headers],[aluminium]:[VibrationMotor]],0))*$Q$2</calculatedColumnFormula>
    </tableColumn>
    <tableColumn id="14" name="VibrationMotor" dataDxfId="171" dataCellStyle="Comma">
      <calculatedColumnFormula>INDEX(midL1[[aluminium]:[VibrationMotor]],MATCH(PrMatAmt[[Product Name]:[Product Name]],midL1[[Product Name]:[Product Name]],0),MATCH(PrMatAmt[[#Headers],[VibrationMotor]],midL1[[#Headers],[aluminium]:[VibrationMotor]],0))*$Q$2</calculatedColumnFormula>
    </tableColumn>
  </tableColumns>
  <tableStyleInfo name="TableStyleMedium9" showFirstColumn="1" showLastColumn="0" showRowStripes="1" showColumnStripes="0"/>
</table>
</file>

<file path=xl/tables/table11.xml><?xml version="1.0" encoding="utf-8"?>
<table xmlns="http://schemas.openxmlformats.org/spreadsheetml/2006/main" id="17" name="PrMatCost_tbl" displayName="PrMatCost_tbl" ref="A92:P100" totalsRowShown="0" dataDxfId="170" dataCellStyle="Comma">
  <autoFilter ref="A92:P100"/>
  <tableColumns count="16">
    <tableColumn id="16" name="Row" dataDxfId="169" dataCellStyle="Comma"/>
    <tableColumn id="1" name="Product Name"/>
    <tableColumn id="2" name="aluminium" dataDxfId="168" dataCellStyle="Comma">
      <calculatedColumnFormula>INDEX(PrMatAmt[[aluminium]:[VibrationMotor]],$A93,C$91)*INDEX(MatVolPrice[[Product Name]:[Max Price]],MATCH('Production Calc'!C$92,MatVolPrice[[Product Name]:[Product Name]],0),7)</calculatedColumnFormula>
    </tableColumn>
    <tableColumn id="3" name="chips" dataDxfId="167" dataCellStyle="Comma">
      <calculatedColumnFormula>INDEX(PrMatAmt[[aluminium]:[VibrationMotor]],$A93,D$91)*INDEX(MatVolPrice[[Product Name]:[Max Price]],MATCH('Production Calc'!D$92,MatVolPrice[[Product Name]:[Product Name]],0),7)</calculatedColumnFormula>
    </tableColumn>
    <tableColumn id="4" name="cobalt" dataDxfId="166" dataCellStyle="Comma">
      <calculatedColumnFormula>INDEX(PrMatAmt[[aluminium]:[VibrationMotor]],$A93,E$91)*INDEX(MatVolPrice[[Product Name]:[Max Price]],MATCH('Production Calc'!E$92,MatVolPrice[[Product Name]:[Product Name]],0),7)</calculatedColumnFormula>
    </tableColumn>
    <tableColumn id="5" name="copper" dataDxfId="165" dataCellStyle="Comma">
      <calculatedColumnFormula>INDEX(PrMatAmt[[aluminium]:[VibrationMotor]],$A93,F$91)*INDEX(MatVolPrice[[Product Name]:[Max Price]],MATCH('Production Calc'!F$92,MatVolPrice[[Product Name]:[Product Name]],0),7)</calculatedColumnFormula>
    </tableColumn>
    <tableColumn id="6" name="glass" dataDxfId="164" dataCellStyle="Comma">
      <calculatedColumnFormula>INDEX(PrMatAmt[[aluminium]:[VibrationMotor]],$A93,G$91)*INDEX(MatVolPrice[[Product Name]:[Max Price]],MATCH('Production Calc'!G$92,MatVolPrice[[Product Name]:[Product Name]],0),7)</calculatedColumnFormula>
    </tableColumn>
    <tableColumn id="7" name="lithium" dataDxfId="163" dataCellStyle="Comma">
      <calculatedColumnFormula>INDEX(PrMatAmt[[aluminium]:[VibrationMotor]],$A93,H$91)*INDEX(MatVolPrice[[Product Name]:[Max Price]],MATCH('Production Calc'!H$92,MatVolPrice[[Product Name]:[Product Name]],0),7)</calculatedColumnFormula>
    </tableColumn>
    <tableColumn id="8" name="microphone" dataDxfId="162" dataCellStyle="Comma">
      <calculatedColumnFormula>INDEX(PrMatAmt[[aluminium]:[VibrationMotor]],$A93,I$91)*INDEX(MatVolPrice[[Product Name]:[Max Price]],MATCH('Production Calc'!I$92,MatVolPrice[[Product Name]:[Product Name]],0),7)</calculatedColumnFormula>
    </tableColumn>
    <tableColumn id="9" name="plastic" dataDxfId="161" dataCellStyle="Comma">
      <calculatedColumnFormula>INDEX(PrMatAmt[[aluminium]:[VibrationMotor]],$A93,J$91)*INDEX(MatVolPrice[[Product Name]:[Max Price]],MATCH('Production Calc'!J$92,MatVolPrice[[Product Name]:[Product Name]],0),7)</calculatedColumnFormula>
    </tableColumn>
    <tableColumn id="10" name="ports" dataDxfId="160" dataCellStyle="Comma">
      <calculatedColumnFormula>INDEX(PrMatAmt[[aluminium]:[VibrationMotor]],$A93,K$91)*INDEX(MatVolPrice[[Product Name]:[Max Price]],MATCH('Production Calc'!K$92,MatVolPrice[[Product Name]:[Product Name]],0),7)</calculatedColumnFormula>
    </tableColumn>
    <tableColumn id="11" name="processors" dataDxfId="159" dataCellStyle="Comma">
      <calculatedColumnFormula>INDEX(PrMatAmt[[aluminium]:[VibrationMotor]],$A93,L$91)*INDEX(MatVolPrice[[Product Name]:[Max Price]],MATCH('Production Calc'!L$92,MatVolPrice[[Product Name]:[Product Name]],0),7)</calculatedColumnFormula>
    </tableColumn>
    <tableColumn id="12" name="silicon" dataDxfId="158" dataCellStyle="Comma">
      <calculatedColumnFormula>INDEX(PrMatAmt[[aluminium]:[VibrationMotor]],$A93,M$91)*INDEX(MatVolPrice[[Product Name]:[Max Price]],MATCH('Production Calc'!M$92,MatVolPrice[[Product Name]:[Product Name]],0),7)</calculatedColumnFormula>
    </tableColumn>
    <tableColumn id="13" name="speaker" dataDxfId="157" dataCellStyle="Comma">
      <calculatedColumnFormula>INDEX(PrMatAmt[[aluminium]:[VibrationMotor]],$A93,N$91)*INDEX(MatVolPrice[[Product Name]:[Max Price]],MATCH('Production Calc'!N$92,MatVolPrice[[Product Name]:[Product Name]],0),7)</calculatedColumnFormula>
    </tableColumn>
    <tableColumn id="14" name="VibrationMotor" dataDxfId="156" dataCellStyle="Comma">
      <calculatedColumnFormula>INDEX(PrMatAmt[[aluminium]:[VibrationMotor]],$A93,O$91)*INDEX(MatVolPrice[[Product Name]:[Max Price]],MATCH('Production Calc'!O$92,MatVolPrice[[Product Name]:[Product Name]],0),7)</calculatedColumnFormula>
    </tableColumn>
    <tableColumn id="15" name="MatCost" dataDxfId="155" dataCellStyle="Comma">
      <calculatedColumnFormula>SUM(PrMatCost_tbl[[#This Row],[aluminium]:[VibrationMotor]])</calculatedColumnFormula>
    </tableColumn>
  </tableColumns>
  <tableStyleInfo name="TableStyleMedium9" showFirstColumn="1" showLastColumn="1" showRowStripes="1" showColumnStripes="0"/>
</table>
</file>

<file path=xl/tables/table12.xml><?xml version="1.0" encoding="utf-8"?>
<table xmlns="http://schemas.openxmlformats.org/spreadsheetml/2006/main" id="18" name="MatAmtVol" displayName="MatAmtVol" ref="A79:O87" totalsRowShown="0">
  <autoFilter ref="A79:O87"/>
  <tableColumns count="15">
    <tableColumn id="1" name="Product Name"/>
    <tableColumn id="2" name="aluminium" dataDxfId="154" dataCellStyle="Comma">
      <calculatedColumnFormula>INDEX(PrMatAmt[[aluminium]:[VibrationMotor]],MATCH($A67,PrShipCost_tbl[[Product Name]:[Product Name]],0),B$52)*INDEX(MatVolPrice[[Product Name]:[Max Price]],MATCH(MatAmtVol[[#Headers],[aluminium]],MatVolPrice[[Product Name]:[Product Name]],0),4)</calculatedColumnFormula>
    </tableColumn>
    <tableColumn id="3" name="chips" dataDxfId="153" dataCellStyle="Comma">
      <calculatedColumnFormula>INDEX(PrMatAmt[[aluminium]:[VibrationMotor]],MATCH($A67,PrShipCost_tbl[[Product Name]:[Product Name]],0),C$52)*INDEX(MatVolPrice[[Product Name]:[Max Price]],MATCH(MatAmtVol[[#Headers],[chips]],MatVolPrice[[Product Name]:[Product Name]],0),4)</calculatedColumnFormula>
    </tableColumn>
    <tableColumn id="4" name="cobalt" dataDxfId="152" dataCellStyle="Comma">
      <calculatedColumnFormula>INDEX(PrMatAmt[[aluminium]:[VibrationMotor]],MATCH($A67,PrShipCost_tbl[[Product Name]:[Product Name]],0),D$52)*INDEX(MatVolPrice[[Product Name]:[Max Price]],MATCH(MatAmtVol[[#Headers],[cobalt]],MatVolPrice[[Product Name]:[Product Name]],0),4)</calculatedColumnFormula>
    </tableColumn>
    <tableColumn id="5" name="copper" dataDxfId="151" dataCellStyle="Comma">
      <calculatedColumnFormula>INDEX(PrMatAmt[[aluminium]:[VibrationMotor]],MATCH($A67,PrShipCost_tbl[[Product Name]:[Product Name]],0),E$52)*INDEX(MatVolPrice[[Product Name]:[Max Price]],MATCH(MatAmtVol[[#Headers],[copper]],MatVolPrice[[Product Name]:[Product Name]],0),4)</calculatedColumnFormula>
    </tableColumn>
    <tableColumn id="6" name="glass" dataDxfId="150" dataCellStyle="Comma">
      <calculatedColumnFormula>INDEX(PrMatAmt[[aluminium]:[VibrationMotor]],MATCH($A67,PrShipCost_tbl[[Product Name]:[Product Name]],0),F$52)*INDEX(MatVolPrice[[Product Name]:[Max Price]],MATCH(MatAmtVol[[#Headers],[glass]],MatVolPrice[[Product Name]:[Product Name]],0),4)</calculatedColumnFormula>
    </tableColumn>
    <tableColumn id="7" name="lithium" dataDxfId="149" dataCellStyle="Comma">
      <calculatedColumnFormula>INDEX(PrMatAmt[[aluminium]:[VibrationMotor]],MATCH($A67,PrShipCost_tbl[[Product Name]:[Product Name]],0),G$52)*INDEX(MatVolPrice[[Product Name]:[Max Price]],MATCH(MatAmtVol[[#Headers],[lithium]],MatVolPrice[[Product Name]:[Product Name]],0),4)</calculatedColumnFormula>
    </tableColumn>
    <tableColumn id="8" name="microphone" dataDxfId="148" dataCellStyle="Comma">
      <calculatedColumnFormula>INDEX(PrMatAmt[[aluminium]:[VibrationMotor]],MATCH($A67,PrShipCost_tbl[[Product Name]:[Product Name]],0),H$52)*INDEX(MatVolPrice[[Product Name]:[Max Price]],MATCH(MatAmtVol[[#Headers],[microphone]],MatVolPrice[[Product Name]:[Product Name]],0),4)</calculatedColumnFormula>
    </tableColumn>
    <tableColumn id="9" name="plastic" dataDxfId="147" dataCellStyle="Comma">
      <calculatedColumnFormula>INDEX(PrMatAmt[[aluminium]:[VibrationMotor]],MATCH($A67,PrShipCost_tbl[[Product Name]:[Product Name]],0),I$52)*INDEX(MatVolPrice[[Product Name]:[Max Price]],MATCH(MatAmtVol[[#Headers],[plastic]],MatVolPrice[[Product Name]:[Product Name]],0),4)</calculatedColumnFormula>
    </tableColumn>
    <tableColumn id="10" name="ports" dataDxfId="146" dataCellStyle="Comma">
      <calculatedColumnFormula>INDEX(PrMatAmt[[aluminium]:[VibrationMotor]],MATCH($A67,PrShipCost_tbl[[Product Name]:[Product Name]],0),J$52)*INDEX(MatVolPrice[[Product Name]:[Max Price]],MATCH(MatAmtVol[[#Headers],[ports]],MatVolPrice[[Product Name]:[Product Name]],0),4)</calculatedColumnFormula>
    </tableColumn>
    <tableColumn id="11" name="processors" dataDxfId="145" dataCellStyle="Comma">
      <calculatedColumnFormula>INDEX(PrMatAmt[[aluminium]:[VibrationMotor]],MATCH($A67,PrShipCost_tbl[[Product Name]:[Product Name]],0),K$52)*INDEX(MatVolPrice[[Product Name]:[Max Price]],MATCH(MatAmtVol[[#Headers],[processors]],MatVolPrice[[Product Name]:[Product Name]],0),4)</calculatedColumnFormula>
    </tableColumn>
    <tableColumn id="12" name="silicon" dataDxfId="144" dataCellStyle="Comma">
      <calculatedColumnFormula>INDEX(PrMatAmt[[aluminium]:[VibrationMotor]],MATCH($A67,PrShipCost_tbl[[Product Name]:[Product Name]],0),L$52)*INDEX(MatVolPrice[[Product Name]:[Max Price]],MATCH(MatAmtVol[[#Headers],[silicon]],MatVolPrice[[Product Name]:[Product Name]],0),4)</calculatedColumnFormula>
    </tableColumn>
    <tableColumn id="13" name="speaker" dataDxfId="143" dataCellStyle="Comma">
      <calculatedColumnFormula>INDEX(PrMatAmt[[aluminium]:[VibrationMotor]],MATCH($A67,PrShipCost_tbl[[Product Name]:[Product Name]],0),M$52)*INDEX(MatVolPrice[[Product Name]:[Max Price]],MATCH(MatAmtVol[[#Headers],[speaker]],MatVolPrice[[Product Name]:[Product Name]],0),4)</calculatedColumnFormula>
    </tableColumn>
    <tableColumn id="14" name="VibrationMotor" dataDxfId="142" dataCellStyle="Comma">
      <calculatedColumnFormula>INDEX(PrMatAmt[[aluminium]:[VibrationMotor]],MATCH($A67,PrShipCost_tbl[[Product Name]:[Product Name]],0),N$52)*INDEX(MatVolPrice[[Product Name]:[Max Price]],MATCH(MatAmtVol[[#Headers],[VibrationMotor]],MatVolPrice[[Product Name]:[Product Name]],0),4)</calculatedColumnFormula>
    </tableColumn>
    <tableColumn id="15" name="Total Volume" dataDxfId="141" dataCellStyle="Comma">
      <calculatedColumnFormula>SUM(MatAmtVol[[#This Row],[aluminium]:[VibrationMotor]])</calculatedColumnFormula>
    </tableColumn>
  </tableColumns>
  <tableStyleInfo name="TableStyleMedium9" showFirstColumn="1" showLastColumn="1" showRowStripes="1" showColumnStripes="0"/>
</table>
</file>

<file path=xl/tables/table13.xml><?xml version="1.0" encoding="utf-8"?>
<table xmlns="http://schemas.openxmlformats.org/spreadsheetml/2006/main" id="19" name="PrCost_tbl" displayName="PrCost_tbl" ref="A105:D113" totalsRowShown="0">
  <autoFilter ref="A105:D113"/>
  <tableColumns count="4">
    <tableColumn id="1" name="Product Name"/>
    <tableColumn id="2" name="Fixed Cost" dataDxfId="140" dataCellStyle="Comma">
      <calculatedColumnFormula>INDEX(MatVolPrice[[Product Name]:[Variable Cost]],MATCH('Production Calc'!$A106,MatVolPrice[[Product Name]:[Product Name]],0),5)</calculatedColumnFormula>
    </tableColumn>
    <tableColumn id="3" name="Var Cost" dataDxfId="139" dataCellStyle="Comma">
      <calculatedColumnFormula>INDEX(MatVolPrice[[Product Name]:[Variable Cost]],MATCH('Production Calc'!$A106,MatVolPrice[[Product Name]:[Product Name]],0),6)</calculatedColumnFormula>
    </tableColumn>
    <tableColumn id="4" name="Cost" dataDxfId="138">
      <calculatedColumnFormula>B106+C106*$Q$2*$S$2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Table20" displayName="Table20" ref="F105:G113" totalsRowShown="0">
  <autoFilter ref="F105:G113"/>
  <tableColumns count="2">
    <tableColumn id="1" name="Product Name"/>
    <tableColumn id="2" name="Total Cost" dataDxfId="137">
      <calculatedColumnFormula>PrCost_tbl[[#This Row],[Cost]]+P93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2" name="PrAnalyze" displayName="PrAnalyze" ref="A116:G124" totalsRowShown="0" dataDxfId="136" dataCellStyle="Comma">
  <autoFilter ref="A116:G124"/>
  <tableColumns count="7">
    <tableColumn id="1" name="Product Name"/>
    <tableColumn id="2" name="Min Price" dataDxfId="135" dataCellStyle="Comma">
      <calculatedColumnFormula>INDEX(MatVolPrice[[Product Name]:[Max Price]],MATCH('Production Calc'!$A117,MatVolPrice[[Product Name]:[Product Name]],0),7)</calculatedColumnFormula>
    </tableColumn>
    <tableColumn id="3" name="Max Price" dataDxfId="134" dataCellStyle="Comma">
      <calculatedColumnFormula>INDEX(MatVolPrice[[Product Name]:[Max Price]],MATCH('Production Calc'!$A117,MatVolPrice[[Product Name]:[Product Name]],0),8)</calculatedColumnFormula>
    </tableColumn>
    <tableColumn id="4" name="Min Profit" dataDxfId="133" dataCellStyle="Comma">
      <calculatedColumnFormula>B117*$Q$2-$G106</calculatedColumnFormula>
    </tableColumn>
    <tableColumn id="5" name="Max Profit" dataDxfId="132" dataCellStyle="Comma">
      <calculatedColumnFormula>C117*$Q$2-$G106</calculatedColumnFormula>
    </tableColumn>
    <tableColumn id="6" name="Min Profit Percent" dataDxfId="131" dataCellStyle="Percent">
      <calculatedColumnFormula>D117/$G106</calculatedColumnFormula>
    </tableColumn>
    <tableColumn id="7" name="Max Profit Percent" dataDxfId="130" dataCellStyle="Percent">
      <calculatedColumnFormula>E117/$G106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" name="PrRate_tbl" displayName="PrRate_tbl" ref="I116:K124" totalsRowShown="0">
  <autoFilter ref="I116:K124"/>
  <tableColumns count="3">
    <tableColumn id="1" name="Product Name"/>
    <tableColumn id="2" name="Production Rate"/>
    <tableColumn id="3" name="1 Month" dataDxfId="129">
      <calculatedColumnFormula>30*PrRate_tbl[[#This Row],[Production Rate]]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PrMonthly" displayName="PrMonthly" ref="A129:K137" totalsRowShown="0" headerRowDxfId="128" tableBorderDxfId="127">
  <autoFilter ref="A129:K137"/>
  <tableColumns count="11">
    <tableColumn id="1" name="Product Name" dataDxfId="126"/>
    <tableColumn id="2" name="Min Price" dataDxfId="125" dataCellStyle="Comma">
      <calculatedColumnFormula>INDEX(MatVolPrice[[Product Name]:[Max Price]],MATCH('Production Calc'!$A130,MatVolPrice[[Product Name]:[Product Name]],0),7)</calculatedColumnFormula>
    </tableColumn>
    <tableColumn id="3" name="Max Price" dataDxfId="124" dataCellStyle="Comma">
      <calculatedColumnFormula>INDEX(MatVolPrice[[Product Name]:[Max Price]],MATCH('Production Calc'!$A130,MatVolPrice[[Product Name]:[Product Name]],0),8)</calculatedColumnFormula>
    </tableColumn>
    <tableColumn id="4" name="1 month Qty">
      <calculatedColumnFormula>K117</calculatedColumnFormula>
    </tableColumn>
    <tableColumn id="5" name="Monthly Cost" dataDxfId="123">
      <calculatedColumnFormula>B106+D130*C106+P93/$Q$2*D130</calculatedColumnFormula>
    </tableColumn>
    <tableColumn id="6" name="Min Profit" dataDxfId="122">
      <calculatedColumnFormula>D130*B130-E130</calculatedColumnFormula>
    </tableColumn>
    <tableColumn id="7" name="Max Profit" dataDxfId="121">
      <calculatedColumnFormula>C130*D130-E130</calculatedColumnFormula>
    </tableColumn>
    <tableColumn id="8" name="Min Percent" dataDxfId="120" dataCellStyle="Percent">
      <calculatedColumnFormula>F130/E130</calculatedColumnFormula>
    </tableColumn>
    <tableColumn id="9" name="Max Percent" dataDxfId="119" dataCellStyle="Percent">
      <calculatedColumnFormula>G130/F130</calculatedColumnFormula>
    </tableColumn>
    <tableColumn id="10" name="Monthly Volume" dataDxfId="118">
      <calculatedColumnFormula>O80/$Q$2*PrMonthly[[#This Row],[1 month Qty]]</calculatedColumnFormula>
    </tableColumn>
    <tableColumn id="11" name="Inventory Proportion" dataDxfId="117">
      <calculatedColumnFormula>PrMonthly[[#This Row],[Monthly Volume]]/20000000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Ship_Que" displayName="Ship_Que" ref="A19:J20" insertRow="1" totalsRowShown="0" headerRowDxfId="116" dataDxfId="115" headerRowCellStyle="Heading 2" dataCellStyle="Normal">
  <tableColumns count="10">
    <tableColumn id="1" name="Order ID" dataDxfId="114" dataCellStyle="Normal">
      <calculatedColumnFormula>ROW()-ROW(Ship_Que[[#Headers],[Order ID]])</calculatedColumnFormula>
    </tableColumn>
    <tableColumn id="10" name="Product" dataDxfId="113"/>
    <tableColumn id="9" name="Material" dataDxfId="112"/>
    <tableColumn id="3" name="Unit" dataDxfId="111" dataCellStyle="Comma"/>
    <tableColumn id="5" name="Volume" dataDxfId="12" dataCellStyle="Percent"/>
    <tableColumn id="2" name="Shipping Time(Min)" dataDxfId="10" dataCellStyle="Percent"/>
    <tableColumn id="8" name="Start Time" dataDxfId="11" dataCellStyle="Percent"/>
    <tableColumn id="11" name="Elapsed Time(Sec)" dataDxfId="13" dataCellStyle="Percent">
      <calculatedColumnFormula>_xlfn.DAYS(NOW(),Ship_Que[[#This Row],[Start Time]])*24*3600+HOUR(TEXT(NOW()-Ship_Que[[#This Row],[Start Time]],"h:mm:ss"))*3600+MINUTE(TEXT(NOW()-Ship_Que[[#This Row],[Start Time]],"h:mm:ss"))*60+SECOND(TEXT(NOW()-Ship_Que[[#This Row],[Start Time]],"h:mm:ss"))</calculatedColumnFormula>
    </tableColumn>
    <tableColumn id="7" name="Status" dataDxfId="14" dataCellStyle="Normal"/>
    <tableColumn id="4" name="notes" dataDxfId="110" dataCellStyle="Normal">
      <calculatedColumnFormula>IF(AND($H$7&lt;Ship_Que[[#This Row],[Volume]]),"You Cant Store This Item","")</calculatedColumnFormula>
    </tableColumn>
  </tableColumns>
  <tableStyleInfo name="TableStyleMedium13" showFirstColumn="1" showLastColumn="0" showRowStripes="1" showColumnStripes="1"/>
</table>
</file>

<file path=xl/tables/table19.xml><?xml version="1.0" encoding="utf-8"?>
<table xmlns="http://schemas.openxmlformats.org/spreadsheetml/2006/main" id="14" name="Mat_Inv" displayName="Mat_Inv" ref="A4:C18" totalsRowCount="1" headerRowDxfId="109" dataDxfId="107" totalsRowDxfId="106" headerRowBorderDxfId="108" headerRowCellStyle="Heading 2">
  <autoFilter ref="A4:C17">
    <filterColumn colId="1">
      <customFilters>
        <customFilter operator="greaterThan" val="0"/>
      </customFilters>
    </filterColumn>
  </autoFilter>
  <tableColumns count="3">
    <tableColumn id="1" name="Material" totalsRowLabel="Total" dataDxfId="105" totalsRowDxfId="9"/>
    <tableColumn id="2" name="Unit" dataDxfId="104" totalsRowDxfId="8" dataCellStyle="Comma"/>
    <tableColumn id="3" name="Volume" totalsRowFunction="sum" dataDxfId="103" totalsRowDxfId="7" dataCellStyle="Percent">
      <calculatedColumnFormula>Mat_Inv[[#This Row],[Unit]]*INDEX(MatVolPrice[[1 Unit Volume]:[1 Unit Volume]],MATCH(Mat_Inv[[#This Row],[Material]],MatVolPrice[[Product Name]:[Product Name]],0))/Space</calculatedColumnFormula>
    </tableColumn>
  </tableColumns>
  <tableStyleInfo name="TableStyleLight9" showFirstColumn="1" showLastColumn="1" showRowStripes="1" showColumnStripes="0"/>
</table>
</file>

<file path=xl/tables/table20.xml><?xml version="1.0" encoding="utf-8"?>
<table xmlns="http://schemas.openxmlformats.org/spreadsheetml/2006/main" id="21" name="Pr_Inv" displayName="Pr_Inv" ref="A24:E32" headerRowDxfId="102" dataDxfId="101" totalsRowDxfId="100">
  <autoFilter ref="A24:E32">
    <filterColumn colId="1">
      <customFilters>
        <customFilter operator="greaterThan" val="0"/>
      </customFilters>
    </filterColumn>
  </autoFilter>
  <tableColumns count="5">
    <tableColumn id="1" name="Product" totalsRowLabel="Total" dataDxfId="99" totalsRowDxfId="98"/>
    <tableColumn id="4" name="max Unit" dataDxfId="97">
      <calculatedColumnFormula>MinUnit[[#This Row],[min]]</calculatedColumnFormula>
    </tableColumn>
    <tableColumn id="3" name="Volume" totalsRowFunction="sum" dataDxfId="96" totalsRowDxfId="95" dataCellStyle="Percent">
      <calculatedColumnFormula>Pr_Inv[[#This Row],[max Unit]]*INDEX(MatVolPrice[[1 Unit Volume]:[1 Unit Volume]],MATCH(Pr_Inv[[#This Row],[Product]],MatVolPrice[[Product Name]:[Product Name]],0))/Space</calculatedColumnFormula>
    </tableColumn>
    <tableColumn id="5" name="Required Time" dataDxfId="94">
      <calculatedColumnFormula>ROUND(Pr_Inv[[#This Row],[max Unit]]/INDEX(MatVolPrice[[Production Rate
 (for 1 game day ~ 8seconds)]:[Production Rate
 (for 1 game day ~ 8seconds)]],MATCH(Pr_Inv[[#This Row],[Product]],MatVolPrice[[Product Name]:[Product Name]],0))*8,0)</calculatedColumnFormula>
    </tableColumn>
    <tableColumn id="9" name="Row" totalsRowFunction="min" dataDxfId="93">
      <calculatedColumnFormula>SUBTOTAL(3,A$25:A25)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23" name="PrMatAmt_Inv" displayName="PrMatAmt_Inv" ref="G24:U32" totalsRowShown="0" headerRowDxfId="92" dataDxfId="91">
  <autoFilter ref="G24:U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Product" dataDxfId="90"/>
    <tableColumn id="2" name="aluminium" dataDxfId="89" dataCellStyle="Comma">
      <calculatedColumnFormula>INDEX(midL1[[aluminium]:[VibrationMotor]],MATCH(PrMatAmt_Inv[[Product]:[Product]],midL1[[Product Name]:[Product Name]],0),MATCH(PrMatAmt_Inv[[#Headers],[aluminium]],midL1[[#Headers],[aluminium]:[VibrationMotor]],0))*Pr_Inv[[max Unit]:[max Unit]]</calculatedColumnFormula>
    </tableColumn>
    <tableColumn id="3" name="chips" dataDxfId="88" dataCellStyle="Comma">
      <calculatedColumnFormula>INDEX(midL1[[aluminium]:[VibrationMotor]],MATCH(PrMatAmt_Inv[[Product]:[Product]],midL1[[Product Name]:[Product Name]],0),MATCH(PrMatAmt_Inv[[#Headers],[chips]],midL1[[#Headers],[aluminium]:[VibrationMotor]],0))*Pr_Inv[[max Unit]:[max Unit]]</calculatedColumnFormula>
    </tableColumn>
    <tableColumn id="4" name="cobalt" dataDxfId="87" dataCellStyle="Comma">
      <calculatedColumnFormula>INDEX(midL1[[aluminium]:[VibrationMotor]],MATCH(PrMatAmt_Inv[[Product]:[Product]],midL1[[Product Name]:[Product Name]],0),MATCH(PrMatAmt_Inv[[#Headers],[cobalt]],midL1[[#Headers],[aluminium]:[VibrationMotor]],0))*Pr_Inv[[max Unit]:[max Unit]]</calculatedColumnFormula>
    </tableColumn>
    <tableColumn id="5" name="copper" dataDxfId="86" dataCellStyle="Comma">
      <calculatedColumnFormula>INDEX(midL1[[aluminium]:[VibrationMotor]],MATCH(PrMatAmt_Inv[[Product]:[Product]],midL1[[Product Name]:[Product Name]],0),MATCH(PrMatAmt_Inv[[#Headers],[copper]],midL1[[#Headers],[aluminium]:[VibrationMotor]],0))*Pr_Inv[[max Unit]:[max Unit]]</calculatedColumnFormula>
    </tableColumn>
    <tableColumn id="6" name="glass" dataDxfId="85" dataCellStyle="Comma">
      <calculatedColumnFormula>INDEX(midL1[[aluminium]:[VibrationMotor]],MATCH(PrMatAmt_Inv[[Product]:[Product]],midL1[[Product Name]:[Product Name]],0),MATCH(PrMatAmt_Inv[[#Headers],[glass]],midL1[[#Headers],[aluminium]:[VibrationMotor]],0))*Pr_Inv[[max Unit]:[max Unit]]</calculatedColumnFormula>
    </tableColumn>
    <tableColumn id="7" name="lithium" dataDxfId="84" dataCellStyle="Comma">
      <calculatedColumnFormula>INDEX(midL1[[aluminium]:[VibrationMotor]],MATCH(PrMatAmt_Inv[[Product]:[Product]],midL1[[Product Name]:[Product Name]],0),MATCH(PrMatAmt_Inv[[#Headers],[lithium]],midL1[[#Headers],[aluminium]:[VibrationMotor]],0))*Pr_Inv[[max Unit]:[max Unit]]</calculatedColumnFormula>
    </tableColumn>
    <tableColumn id="8" name="microphone" dataDxfId="83" dataCellStyle="Comma">
      <calculatedColumnFormula>INDEX(midL1[[aluminium]:[VibrationMotor]],MATCH(PrMatAmt_Inv[[Product]:[Product]],midL1[[Product Name]:[Product Name]],0),MATCH(PrMatAmt_Inv[[#Headers],[microphone]],midL1[[#Headers],[aluminium]:[VibrationMotor]],0))*Pr_Inv[[max Unit]:[max Unit]]</calculatedColumnFormula>
    </tableColumn>
    <tableColumn id="9" name="plastic" dataDxfId="82" dataCellStyle="Comma">
      <calculatedColumnFormula>INDEX(midL1[[aluminium]:[VibrationMotor]],MATCH(PrMatAmt_Inv[[Product]:[Product]],midL1[[Product Name]:[Product Name]],0),MATCH(PrMatAmt_Inv[[#Headers],[plastic]],midL1[[#Headers],[aluminium]:[VibrationMotor]],0))*Pr_Inv[[max Unit]:[max Unit]]</calculatedColumnFormula>
    </tableColumn>
    <tableColumn id="10" name="ports" dataDxfId="81" dataCellStyle="Comma">
      <calculatedColumnFormula>INDEX(midL1[[aluminium]:[VibrationMotor]],MATCH(PrMatAmt_Inv[[Product]:[Product]],midL1[[Product Name]:[Product Name]],0),MATCH(PrMatAmt_Inv[[#Headers],[ports]],midL1[[#Headers],[aluminium]:[VibrationMotor]],0))*Pr_Inv[[max Unit]:[max Unit]]</calculatedColumnFormula>
    </tableColumn>
    <tableColumn id="11" name="processors" dataDxfId="80" dataCellStyle="Comma">
      <calculatedColumnFormula>INDEX(midL1[[aluminium]:[VibrationMotor]],MATCH(PrMatAmt_Inv[[Product]:[Product]],midL1[[Product Name]:[Product Name]],0),MATCH(PrMatAmt_Inv[[#Headers],[processors]],midL1[[#Headers],[aluminium]:[VibrationMotor]],0))*Pr_Inv[[max Unit]:[max Unit]]</calculatedColumnFormula>
    </tableColumn>
    <tableColumn id="12" name="silicon" dataDxfId="79" dataCellStyle="Comma">
      <calculatedColumnFormula>INDEX(midL1[[aluminium]:[VibrationMotor]],MATCH(PrMatAmt_Inv[[Product]:[Product]],midL1[[Product Name]:[Product Name]],0),MATCH(PrMatAmt_Inv[[#Headers],[silicon]],midL1[[#Headers],[aluminium]:[VibrationMotor]],0))*Pr_Inv[[max Unit]:[max Unit]]</calculatedColumnFormula>
    </tableColumn>
    <tableColumn id="13" name="speaker" dataDxfId="78" dataCellStyle="Comma">
      <calculatedColumnFormula>INDEX(midL1[[aluminium]:[VibrationMotor]],MATCH(PrMatAmt_Inv[[Product]:[Product]],midL1[[Product Name]:[Product Name]],0),MATCH(PrMatAmt_Inv[[#Headers],[speaker]],midL1[[#Headers],[aluminium]:[VibrationMotor]],0))*Pr_Inv[[max Unit]:[max Unit]]</calculatedColumnFormula>
    </tableColumn>
    <tableColumn id="14" name="VibrationMotor" dataDxfId="77" dataCellStyle="Comma">
      <calculatedColumnFormula>INDEX(midL1[[aluminium]:[VibrationMotor]],MATCH(PrMatAmt_Inv[[Product]:[Product]],midL1[[Product Name]:[Product Name]],0),MATCH(PrMatAmt_Inv[[#Headers],[VibrationMotor]],midL1[[#Headers],[aluminium]:[VibrationMotor]],0))*Pr_Inv[[max Unit]:[max Unit]]</calculatedColumnFormula>
    </tableColumn>
    <tableColumn id="15" name="Status" dataDxfId="76" dataCellStyle="Comma">
      <calculatedColumnFormula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id="26" name="Table26" displayName="Table26" ref="W24:X32" headerRowDxfId="75" dataDxfId="74" totalsRowDxfId="73">
  <autoFilter ref="W24:X32">
    <filterColumn colId="0" hiddenButton="1"/>
    <filterColumn colId="1" hiddenButton="1"/>
  </autoFilter>
  <tableColumns count="2">
    <tableColumn id="1" name="Row" totalsRowLabel="Total" dataDxfId="72"/>
    <tableColumn id="2" name="Product" totalsRowFunction="count" dataDxfId="71">
      <calculatedColumnFormula>IFERROR(INDEX(Pr_Inv[Product],MATCH(Table26[[#This Row],[Row]],Pr_Inv[Row],0)),"")</calculatedColumnFormula>
    </tableColumn>
  </tableColumns>
  <tableStyleInfo showFirstColumn="0" showLastColumn="0" showRowStripes="0" showColumnStripes="0"/>
</table>
</file>

<file path=xl/tables/table23.xml><?xml version="1.0" encoding="utf-8"?>
<table xmlns="http://schemas.openxmlformats.org/spreadsheetml/2006/main" id="24" name="Line2" displayName="Line2" ref="A45:H46" insertRow="1" headerRowDxfId="70" dataDxfId="69" totalsRowDxfId="68">
  <tableColumns count="8">
    <tableColumn id="1" name="Product" totalsRowLabel="Total" dataDxfId="67"/>
    <tableColumn id="2" name="Unit" dataDxfId="66"/>
    <tableColumn id="3" name="Volume" totalsRowFunction="sum" dataDxfId="65" totalsRowDxfId="64" dataCellStyle="Percent">
      <calculatedColumnFormula>Line2[[#This Row],[Unit]]*INDEX(MatVolPrice[[1 Unit Volume]:[1 Unit Volume]],MATCH(Line2[[#This Row],[Product]],MatVolPrice[[Product Name]:[Product Name]],0))/Space</calculatedColumnFormula>
    </tableColumn>
    <tableColumn id="4" name="Start Time" dataDxfId="63"/>
    <tableColumn id="5" name="Req Time" dataDxfId="62">
      <calculatedColumnFormula>ROUND(Line2[[#This Row],[Unit]]/INDEX(MatVolPrice[[Production Rate
 (for 1 game day ~ 8seconds)]:[Production Rate
 (for 1 game day ~ 8seconds)]],MATCH(Line2[[#This Row],[Product]],MatVolPrice[[Product Name]:[Product Name]],0))*8,0)</calculatedColumnFormula>
    </tableColumn>
    <tableColumn id="6" name="Status" dataDxfId="61">
      <calculatedColumnFormula>IF(AND(Line2[[#This Row],[Remaining Time]]&gt;-1,ISBLANK(Line2[[#This Row],[Start Time]])),"Producing","Blocked")</calculatedColumnFormula>
    </tableColumn>
    <tableColumn id="7" name="Remaining Time" dataDxfId="60">
      <calculatedColumnFormula>IF(Line2[Req Time]-(_xlfn.DAYS(NOW(),Line2[Start Time])*24*3600+HOUR(TEXT(NOW()-Line2[Start Time],"h:mm:ss"))*3600+MINUTE(TEXT(NOW()-Line2[Start Time],"h:mm:ss"))*60+SECOND(TEXT(NOW()-Line2[Start Time],"h:mm:ss")))&gt;0,Line2[Req Time]-(_xlfn.DAYS(NOW(),Line2[Start Time])*24*3600+HOUR(TEXT(NOW()-Line2[Start Time],"h:mm:ss"))*3600+MINUTE(TEXT(NOW()-Line2[Start Time],"h:mm:ss"))*60+SECOND(TEXT(NOW()-Line2[Start Time],"h:mm:ss"))),0)</calculatedColumnFormula>
    </tableColumn>
    <tableColumn id="8" name="Cost" totalsRowFunction="count" dataDxfId="59" totalsRowDxfId="58" dataCellStyle="Currency">
      <calculatedColumnFormula>INDEX(MatVolPrice[Fixed Cost],MATCH(Line2[[#This Row],[Product]],MatVolPrice[Product Name],0))+INDEX(MatVolPrice[Variable Cost],MATCH(Line2[[#This Row],[Product]],MatVolPrice[Product Name],0))*Line2[[#This Row],[Unit]]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ProductInventory" displayName="ProductInventory" ref="A51:C59" totalsRowShown="0" headerRowDxfId="57" dataDxfId="56">
  <autoFilter ref="A51:C59">
    <filterColumn colId="1">
      <customFilters>
        <customFilter operator="greaterThan" val="0"/>
      </customFilters>
    </filterColumn>
  </autoFilter>
  <tableColumns count="3">
    <tableColumn id="1" name="Product" dataDxfId="55"/>
    <tableColumn id="2" name="Unit" dataDxfId="54"/>
    <tableColumn id="3" name="Volume" dataDxfId="53" dataCellStyle="Percent">
      <calculatedColumnFormula>ProductInventory[[#This Row],[Unit]]*INDEX(MatVolPrice[[1 Unit Volume]:[1 Unit Volume]],MATCH(ProductInventory[[#This Row],[Product]],MatVolPrice[[Product Name]:[Product Name]],0))/Space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8" name="Line1" displayName="Line1" ref="A39:H40" insertRow="1" headerRowDxfId="52" dataDxfId="51" totalsRowDxfId="49" tableBorderDxfId="50">
  <tableColumns count="8">
    <tableColumn id="1" name="Product" totalsRowLabel="Total" dataDxfId="48" totalsRowDxfId="47"/>
    <tableColumn id="2" name="Unit" dataDxfId="46" totalsRowDxfId="45"/>
    <tableColumn id="3" name="Volume" totalsRowFunction="sum" dataDxfId="44" totalsRowDxfId="43" dataCellStyle="Percent">
      <calculatedColumnFormula>Inventory!$B40*INDEX(MatVolPrice[[1 Unit Volume]:[1 Unit Volume]],MATCH(Inventory!$A40,MatVolPrice[[Product Name]:[Product Name]],0))/Space</calculatedColumnFormula>
    </tableColumn>
    <tableColumn id="4" name="Start Time" dataDxfId="42" totalsRowDxfId="41"/>
    <tableColumn id="5" name="Req Time" dataDxfId="40" totalsRowDxfId="39">
      <calculatedColumnFormula>ROUND(Line1[[#This Row],[Unit]]/INDEX(MatVolPrice[[Production Rate
 (for 1 game day ~ 8seconds)]:[Production Rate
 (for 1 game day ~ 8seconds)]],MATCH(Line1[[#This Row],[Product]],MatVolPrice[[Product Name]:[Product Name]],0))*8,0)</calculatedColumnFormula>
    </tableColumn>
    <tableColumn id="6" name="Status" dataDxfId="38" totalsRowDxfId="37">
      <calculatedColumnFormula>IF(AND(Line1[[#This Row],[Remaining Time]]&gt;-1,ISBLANK(Line1[[#This Row],[Start Time]])),"Producing","Blocked")</calculatedColumnFormula>
    </tableColumn>
    <tableColumn id="7" name="Remaining Time" dataDxfId="36" totalsRowDxfId="35">
      <calculatedColumnFormula>IF(Inventory!$E$40:$E$40-(_xlfn.DAYS(NOW(),Inventory!$D$40:$D$40)*24*3600+HOUR(TEXT(NOW()-Inventory!$D$40:$D$40,"h:mm:ss"))*3600+MINUTE(TEXT(NOW()-Inventory!$D$40:$D$40,"h:mm:ss"))*60+SECOND(TEXT(NOW()-Inventory!$D$40:$D$40,"h:mm:ss")))&gt;0,Inventory!$E$40:$E$40-(_xlfn.DAYS(NOW(),Inventory!$D$40:$D$40)*24*3600+HOUR(TEXT(NOW()-Inventory!$D$40:$D$40,"h:mm:ss"))*3600+MINUTE(TEXT(NOW()-Inventory!$D$40:$D$40,"h:mm:ss"))*60+SECOND(TEXT(NOW()-Inventory!$D$40:$D$40,"h:mm:ss"))),0)</calculatedColumnFormula>
    </tableColumn>
    <tableColumn id="8" name="Cost" totalsRowFunction="count" dataDxfId="34" totalsRowDxfId="33" dataCellStyle="Currency">
      <calculatedColumnFormula>INDEX(MatVolPrice[Fixed Cost],MATCH(Inventory!$A40,MatVolPrice[Product Name],0))+INDEX(MatVolPrice[Variable Cost],MATCH(Inventory!$A40,MatVolPrice[Product Name],0))*Inventory!$B40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9" name="MinUnit" displayName="MinUnit" ref="Z24:AO32" totalsRowShown="0" headerRowDxfId="32" dataDxfId="31">
  <autoFilter ref="Z24:AO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Product" dataDxfId="30"/>
    <tableColumn id="2" name="aluminium" dataDxfId="29" dataCellStyle="Comma">
      <calculatedColumnFormula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calculatedColumnFormula>
    </tableColumn>
    <tableColumn id="3" name="chips" dataDxfId="28" dataCellStyle="Comma">
      <calculatedColumnFormula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calculatedColumnFormula>
    </tableColumn>
    <tableColumn id="4" name="cobalt" dataDxfId="27" dataCellStyle="Comma">
      <calculatedColumnFormula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calculatedColumnFormula>
    </tableColumn>
    <tableColumn id="5" name="copper" dataDxfId="26" dataCellStyle="Comma">
      <calculatedColumnFormula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calculatedColumnFormula>
    </tableColumn>
    <tableColumn id="6" name="glass" dataDxfId="25" dataCellStyle="Comma">
      <calculatedColumnFormula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calculatedColumnFormula>
    </tableColumn>
    <tableColumn id="7" name="lithium" dataDxfId="24" dataCellStyle="Comma">
      <calculatedColumnFormula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calculatedColumnFormula>
    </tableColumn>
    <tableColumn id="8" name="microphone" dataDxfId="23" dataCellStyle="Comma">
      <calculatedColumnFormula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calculatedColumnFormula>
    </tableColumn>
    <tableColumn id="9" name="plastic" dataDxfId="22" dataCellStyle="Comma">
      <calculatedColumnFormula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calculatedColumnFormula>
    </tableColumn>
    <tableColumn id="10" name="ports" dataDxfId="21" dataCellStyle="Comma">
      <calculatedColumnFormula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calculatedColumnFormula>
    </tableColumn>
    <tableColumn id="11" name="processors" dataDxfId="20" dataCellStyle="Comma">
      <calculatedColumnFormula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calculatedColumnFormula>
    </tableColumn>
    <tableColumn id="12" name="silicon" dataDxfId="19" dataCellStyle="Comma">
      <calculatedColumnFormula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calculatedColumnFormula>
    </tableColumn>
    <tableColumn id="13" name="speaker" dataDxfId="18" dataCellStyle="Comma">
      <calculatedColumnFormula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calculatedColumnFormula>
    </tableColumn>
    <tableColumn id="14" name="VibrationMotor" dataDxfId="17" dataCellStyle="Comma">
      <calculatedColumnFormula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calculatedColumnFormula>
    </tableColumn>
    <tableColumn id="15" name="Status" dataDxfId="16" dataCellStyle="Comma">
      <calculatedColumnFormula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calculatedColumnFormula>
    </tableColumn>
    <tableColumn id="16" name="min" dataDxfId="15" dataCellStyle="Comma">
      <calculatedColumnFormula>IF(MinUnit[[#This Row],[Status]]&lt;&gt;"",SMALL(MinUnit[[#This Row],[aluminium]:[VibrationMotor]],COUNTIF(MinUnit[[#This Row],[aluminium]:[VibrationMotor]],0)+1),0)</calculatedColumnFormula>
    </tableColumn>
  </tableColumns>
  <tableStyleInfo showFirstColumn="0" showLastColumn="0" showRowStripes="0" showColumnStripes="0"/>
</table>
</file>

<file path=xl/tables/table27.xml><?xml version="1.0" encoding="utf-8"?>
<table xmlns="http://schemas.openxmlformats.org/spreadsheetml/2006/main" id="16" name="Costs" displayName="Costs" ref="A3:C49" totalsRowCount="1">
  <autoFilter ref="A3:C48"/>
  <tableColumns count="3">
    <tableColumn id="1" name="Product" totalsRowLabel="Total"/>
    <tableColumn id="2" name="Cost Type"/>
    <tableColumn id="3" name="Cost" totalsRowFunction="sum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comments" Target="../comments2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77"/>
  <sheetViews>
    <sheetView workbookViewId="0">
      <selection activeCell="D10" sqref="D10"/>
    </sheetView>
  </sheetViews>
  <sheetFormatPr defaultRowHeight="14.4" x14ac:dyDescent="0.3"/>
  <cols>
    <col min="1" max="1" width="15.33203125" bestFit="1" customWidth="1"/>
    <col min="2" max="2" width="14.109375" bestFit="1" customWidth="1"/>
    <col min="3" max="3" width="23" bestFit="1" customWidth="1"/>
    <col min="4" max="4" width="47.44140625" bestFit="1" customWidth="1"/>
    <col min="5" max="5" width="15" customWidth="1"/>
    <col min="6" max="6" width="16.5546875" customWidth="1"/>
    <col min="7" max="7" width="13.33203125" customWidth="1"/>
    <col min="8" max="8" width="18.5546875" bestFit="1" customWidth="1"/>
    <col min="9" max="9" width="11.88671875" customWidth="1"/>
    <col min="10" max="10" width="12.44140625" customWidth="1"/>
  </cols>
  <sheetData>
    <row r="1" spans="1:10" ht="70.2" thickTop="1" thickBot="1" x14ac:dyDescent="0.35">
      <c r="A1" s="54" t="s">
        <v>0</v>
      </c>
      <c r="B1" s="127" t="s">
        <v>1</v>
      </c>
      <c r="C1" s="56" t="s">
        <v>2</v>
      </c>
      <c r="D1" s="55" t="s">
        <v>3</v>
      </c>
      <c r="E1" s="55" t="s">
        <v>96</v>
      </c>
      <c r="F1" s="55" t="s">
        <v>4</v>
      </c>
      <c r="G1" s="55" t="s">
        <v>5</v>
      </c>
      <c r="H1" s="55" t="s">
        <v>6</v>
      </c>
      <c r="I1" s="55" t="s">
        <v>7</v>
      </c>
      <c r="J1" s="96" t="s">
        <v>8</v>
      </c>
    </row>
    <row r="2" spans="1:10" ht="15" thickBot="1" x14ac:dyDescent="0.35">
      <c r="A2" s="203" t="s">
        <v>87</v>
      </c>
      <c r="B2" s="128" t="s">
        <v>9</v>
      </c>
      <c r="C2" s="56" t="s">
        <v>11</v>
      </c>
      <c r="D2" s="56" t="s">
        <v>12</v>
      </c>
      <c r="E2" s="56"/>
      <c r="F2" s="56">
        <v>2</v>
      </c>
      <c r="G2" s="56"/>
      <c r="H2" s="56"/>
      <c r="I2" s="56">
        <v>4</v>
      </c>
      <c r="J2" s="97">
        <v>4</v>
      </c>
    </row>
    <row r="3" spans="1:10" ht="15" thickBot="1" x14ac:dyDescent="0.35">
      <c r="A3" s="204"/>
      <c r="B3" s="128" t="s">
        <v>9</v>
      </c>
      <c r="C3" s="56" t="s">
        <v>14</v>
      </c>
      <c r="D3" s="56" t="s">
        <v>12</v>
      </c>
      <c r="E3" s="56"/>
      <c r="F3" s="56">
        <v>30</v>
      </c>
      <c r="G3" s="56"/>
      <c r="H3" s="56"/>
      <c r="I3" s="56">
        <v>100</v>
      </c>
      <c r="J3" s="97">
        <v>100</v>
      </c>
    </row>
    <row r="4" spans="1:10" ht="15" thickBot="1" x14ac:dyDescent="0.35">
      <c r="A4" s="204"/>
      <c r="B4" s="128" t="s">
        <v>9</v>
      </c>
      <c r="C4" s="56" t="s">
        <v>16</v>
      </c>
      <c r="D4" s="56" t="s">
        <v>12</v>
      </c>
      <c r="E4" s="56"/>
      <c r="F4" s="56">
        <v>10</v>
      </c>
      <c r="G4" s="56"/>
      <c r="H4" s="56"/>
      <c r="I4" s="56">
        <v>10</v>
      </c>
      <c r="J4" s="97">
        <v>10</v>
      </c>
    </row>
    <row r="5" spans="1:10" ht="15" thickBot="1" x14ac:dyDescent="0.35">
      <c r="A5" s="204"/>
      <c r="B5" s="128" t="s">
        <v>9</v>
      </c>
      <c r="C5" s="56" t="s">
        <v>18</v>
      </c>
      <c r="D5" s="56" t="s">
        <v>12</v>
      </c>
      <c r="E5" s="56"/>
      <c r="F5" s="56">
        <v>1</v>
      </c>
      <c r="G5" s="56"/>
      <c r="H5" s="56"/>
      <c r="I5" s="56">
        <v>7</v>
      </c>
      <c r="J5" s="97">
        <v>7</v>
      </c>
    </row>
    <row r="6" spans="1:10" ht="15" thickBot="1" x14ac:dyDescent="0.35">
      <c r="A6" s="204"/>
      <c r="B6" s="128" t="s">
        <v>9</v>
      </c>
      <c r="C6" s="56" t="s">
        <v>20</v>
      </c>
      <c r="D6" s="56" t="s">
        <v>12</v>
      </c>
      <c r="E6" s="56"/>
      <c r="F6" s="56">
        <v>2</v>
      </c>
      <c r="G6" s="56"/>
      <c r="H6" s="56"/>
      <c r="I6" s="56">
        <v>1</v>
      </c>
      <c r="J6" s="97">
        <v>1</v>
      </c>
    </row>
    <row r="7" spans="1:10" ht="15" thickBot="1" x14ac:dyDescent="0.35">
      <c r="A7" s="204"/>
      <c r="B7" s="128" t="s">
        <v>9</v>
      </c>
      <c r="C7" s="56" t="s">
        <v>22</v>
      </c>
      <c r="D7" s="56" t="s">
        <v>12</v>
      </c>
      <c r="E7" s="56"/>
      <c r="F7" s="56">
        <v>10</v>
      </c>
      <c r="G7" s="56"/>
      <c r="H7" s="56"/>
      <c r="I7" s="56">
        <v>2</v>
      </c>
      <c r="J7" s="97">
        <v>2</v>
      </c>
    </row>
    <row r="8" spans="1:10" ht="15" thickBot="1" x14ac:dyDescent="0.35">
      <c r="A8" s="204"/>
      <c r="B8" s="128" t="s">
        <v>9</v>
      </c>
      <c r="C8" s="56" t="s">
        <v>24</v>
      </c>
      <c r="D8" s="56" t="s">
        <v>12</v>
      </c>
      <c r="E8" s="56"/>
      <c r="F8" s="56">
        <v>15</v>
      </c>
      <c r="G8" s="56"/>
      <c r="H8" s="56"/>
      <c r="I8" s="56">
        <v>50</v>
      </c>
      <c r="J8" s="97">
        <v>50</v>
      </c>
    </row>
    <row r="9" spans="1:10" ht="15" thickBot="1" x14ac:dyDescent="0.35">
      <c r="A9" s="204"/>
      <c r="B9" s="128" t="s">
        <v>9</v>
      </c>
      <c r="C9" s="56" t="s">
        <v>26</v>
      </c>
      <c r="D9" s="56" t="s">
        <v>12</v>
      </c>
      <c r="E9" s="56"/>
      <c r="F9" s="56">
        <v>2</v>
      </c>
      <c r="G9" s="56"/>
      <c r="H9" s="56"/>
      <c r="I9" s="56">
        <v>1</v>
      </c>
      <c r="J9" s="97">
        <v>1</v>
      </c>
    </row>
    <row r="10" spans="1:10" ht="15" thickBot="1" x14ac:dyDescent="0.35">
      <c r="A10" s="204"/>
      <c r="B10" s="128" t="s">
        <v>9</v>
      </c>
      <c r="C10" s="56" t="s">
        <v>28</v>
      </c>
      <c r="D10" s="56" t="s">
        <v>12</v>
      </c>
      <c r="E10" s="56"/>
      <c r="F10" s="56">
        <v>50</v>
      </c>
      <c r="G10" s="56"/>
      <c r="H10" s="56"/>
      <c r="I10" s="56">
        <v>40</v>
      </c>
      <c r="J10" s="97">
        <v>40</v>
      </c>
    </row>
    <row r="11" spans="1:10" ht="15" thickBot="1" x14ac:dyDescent="0.35">
      <c r="A11" s="204"/>
      <c r="B11" s="128" t="s">
        <v>9</v>
      </c>
      <c r="C11" s="56" t="s">
        <v>30</v>
      </c>
      <c r="D11" s="56" t="s">
        <v>12</v>
      </c>
      <c r="E11" s="56"/>
      <c r="F11" s="56">
        <v>10</v>
      </c>
      <c r="G11" s="56"/>
      <c r="H11" s="56"/>
      <c r="I11" s="56">
        <v>50</v>
      </c>
      <c r="J11" s="97">
        <v>50</v>
      </c>
    </row>
    <row r="12" spans="1:10" ht="15" thickBot="1" x14ac:dyDescent="0.35">
      <c r="A12" s="204"/>
      <c r="B12" s="128" t="s">
        <v>9</v>
      </c>
      <c r="C12" s="56" t="s">
        <v>32</v>
      </c>
      <c r="D12" s="56" t="s">
        <v>12</v>
      </c>
      <c r="E12" s="56"/>
      <c r="F12" s="56">
        <v>1</v>
      </c>
      <c r="G12" s="56"/>
      <c r="H12" s="56"/>
      <c r="I12" s="56">
        <v>1</v>
      </c>
      <c r="J12" s="97">
        <v>1</v>
      </c>
    </row>
    <row r="13" spans="1:10" ht="15" thickBot="1" x14ac:dyDescent="0.35">
      <c r="A13" s="204"/>
      <c r="B13" s="128" t="s">
        <v>9</v>
      </c>
      <c r="C13" s="56" t="s">
        <v>34</v>
      </c>
      <c r="D13" s="56" t="s">
        <v>12</v>
      </c>
      <c r="E13" s="56"/>
      <c r="F13" s="56">
        <v>3</v>
      </c>
      <c r="G13" s="56"/>
      <c r="H13" s="56"/>
      <c r="I13" s="56">
        <v>25</v>
      </c>
      <c r="J13" s="97">
        <v>25</v>
      </c>
    </row>
    <row r="14" spans="1:10" ht="15" thickBot="1" x14ac:dyDescent="0.35">
      <c r="A14" s="205"/>
      <c r="B14" s="128" t="s">
        <v>9</v>
      </c>
      <c r="C14" s="56" t="s">
        <v>179</v>
      </c>
      <c r="D14" s="56" t="s">
        <v>12</v>
      </c>
      <c r="E14" s="56"/>
      <c r="F14" s="56">
        <v>50</v>
      </c>
      <c r="G14" s="56"/>
      <c r="H14" s="56"/>
      <c r="I14" s="56">
        <v>150</v>
      </c>
      <c r="J14" s="97">
        <v>150</v>
      </c>
    </row>
    <row r="15" spans="1:10" ht="15.6" thickTop="1" thickBot="1" x14ac:dyDescent="0.35">
      <c r="A15" s="206">
        <v>1</v>
      </c>
      <c r="B15" s="129" t="s">
        <v>36</v>
      </c>
      <c r="C15" s="57" t="s">
        <v>117</v>
      </c>
      <c r="D15" s="57" t="s">
        <v>37</v>
      </c>
      <c r="E15" s="57">
        <v>100</v>
      </c>
      <c r="F15" s="57">
        <v>80</v>
      </c>
      <c r="G15" s="58">
        <v>50000</v>
      </c>
      <c r="H15" s="57">
        <v>50</v>
      </c>
      <c r="I15" s="57">
        <v>780</v>
      </c>
      <c r="J15" s="98">
        <v>1020</v>
      </c>
    </row>
    <row r="16" spans="1:10" ht="15" thickBot="1" x14ac:dyDescent="0.35">
      <c r="A16" s="204"/>
      <c r="B16" s="129" t="s">
        <v>36</v>
      </c>
      <c r="C16" s="57" t="s">
        <v>89</v>
      </c>
      <c r="D16" s="57" t="s">
        <v>38</v>
      </c>
      <c r="E16" s="57">
        <v>80</v>
      </c>
      <c r="F16" s="57">
        <v>328</v>
      </c>
      <c r="G16" s="58">
        <v>70000</v>
      </c>
      <c r="H16" s="57">
        <v>93</v>
      </c>
      <c r="I16" s="58">
        <v>1260</v>
      </c>
      <c r="J16" s="98">
        <v>1640</v>
      </c>
    </row>
    <row r="17" spans="1:10" ht="15" thickBot="1" x14ac:dyDescent="0.35">
      <c r="A17" s="204"/>
      <c r="B17" s="129" t="s">
        <v>36</v>
      </c>
      <c r="C17" s="57" t="s">
        <v>118</v>
      </c>
      <c r="D17" s="57" t="s">
        <v>38</v>
      </c>
      <c r="E17" s="57">
        <v>210</v>
      </c>
      <c r="F17" s="57">
        <v>240</v>
      </c>
      <c r="G17" s="58">
        <v>190000</v>
      </c>
      <c r="H17" s="57">
        <v>61</v>
      </c>
      <c r="I17" s="57">
        <v>660</v>
      </c>
      <c r="J17" s="60">
        <v>860</v>
      </c>
    </row>
    <row r="18" spans="1:10" ht="15" thickBot="1" x14ac:dyDescent="0.35">
      <c r="A18" s="204"/>
      <c r="B18" s="129" t="s">
        <v>36</v>
      </c>
      <c r="C18" s="57" t="s">
        <v>91</v>
      </c>
      <c r="D18" s="57" t="s">
        <v>38</v>
      </c>
      <c r="E18" s="57">
        <v>80</v>
      </c>
      <c r="F18" s="57">
        <v>592</v>
      </c>
      <c r="G18" s="58">
        <v>200000</v>
      </c>
      <c r="H18" s="57">
        <v>174</v>
      </c>
      <c r="I18" s="58">
        <v>1730</v>
      </c>
      <c r="J18" s="59">
        <v>2240</v>
      </c>
    </row>
    <row r="19" spans="1:10" ht="15" thickBot="1" x14ac:dyDescent="0.35">
      <c r="A19" s="204"/>
      <c r="B19" s="130" t="s">
        <v>39</v>
      </c>
      <c r="C19" s="61" t="s">
        <v>40</v>
      </c>
      <c r="D19" s="61" t="s">
        <v>41</v>
      </c>
      <c r="E19" s="61">
        <v>80</v>
      </c>
      <c r="F19" s="61">
        <v>100</v>
      </c>
      <c r="G19" s="62">
        <v>200000</v>
      </c>
      <c r="H19" s="61">
        <v>284</v>
      </c>
      <c r="I19" s="62">
        <v>2810</v>
      </c>
      <c r="J19" s="63">
        <v>3190</v>
      </c>
    </row>
    <row r="20" spans="1:10" ht="15" thickBot="1" x14ac:dyDescent="0.35">
      <c r="A20" s="204"/>
      <c r="B20" s="130" t="s">
        <v>39</v>
      </c>
      <c r="C20" s="61" t="s">
        <v>42</v>
      </c>
      <c r="D20" s="61" t="s">
        <v>43</v>
      </c>
      <c r="E20" s="61">
        <v>60</v>
      </c>
      <c r="F20" s="61">
        <v>19</v>
      </c>
      <c r="G20" s="62">
        <v>30000</v>
      </c>
      <c r="H20" s="61">
        <v>200</v>
      </c>
      <c r="I20" s="62">
        <v>1470</v>
      </c>
      <c r="J20" s="63">
        <v>1670</v>
      </c>
    </row>
    <row r="21" spans="1:10" ht="15" thickBot="1" x14ac:dyDescent="0.35">
      <c r="A21" s="204"/>
      <c r="B21" s="130" t="s">
        <v>39</v>
      </c>
      <c r="C21" s="61" t="s">
        <v>119</v>
      </c>
      <c r="D21" s="61" t="s">
        <v>45</v>
      </c>
      <c r="E21" s="61">
        <v>70</v>
      </c>
      <c r="F21" s="61">
        <v>1008</v>
      </c>
      <c r="G21" s="62">
        <v>790000</v>
      </c>
      <c r="H21" s="62">
        <v>1359</v>
      </c>
      <c r="I21" s="62">
        <v>9320</v>
      </c>
      <c r="J21" s="63">
        <v>10590</v>
      </c>
    </row>
    <row r="22" spans="1:10" ht="15" thickBot="1" x14ac:dyDescent="0.35">
      <c r="A22" s="205"/>
      <c r="B22" s="131" t="s">
        <v>46</v>
      </c>
      <c r="C22" s="64" t="s">
        <v>120</v>
      </c>
      <c r="D22" s="64" t="s">
        <v>48</v>
      </c>
      <c r="E22" s="64">
        <v>200</v>
      </c>
      <c r="F22" s="64">
        <v>1127</v>
      </c>
      <c r="G22" s="65">
        <v>5570000</v>
      </c>
      <c r="H22" s="65">
        <v>2760</v>
      </c>
      <c r="I22" s="65">
        <v>20740</v>
      </c>
      <c r="J22" s="66">
        <v>25340</v>
      </c>
    </row>
    <row r="23" spans="1:10" ht="15.6" thickTop="1" thickBot="1" x14ac:dyDescent="0.35">
      <c r="A23" s="206">
        <v>2</v>
      </c>
      <c r="B23" s="129" t="s">
        <v>36</v>
      </c>
      <c r="C23" s="57" t="s">
        <v>49</v>
      </c>
      <c r="D23" s="57" t="s">
        <v>50</v>
      </c>
      <c r="E23" s="57">
        <v>350</v>
      </c>
      <c r="F23" s="57">
        <v>224</v>
      </c>
      <c r="G23" s="58">
        <v>280000</v>
      </c>
      <c r="H23" s="57">
        <v>76</v>
      </c>
      <c r="I23" s="57">
        <v>670</v>
      </c>
      <c r="J23" s="60">
        <v>870</v>
      </c>
    </row>
    <row r="24" spans="1:10" ht="15" thickBot="1" x14ac:dyDescent="0.35">
      <c r="A24" s="204"/>
      <c r="B24" s="129" t="s">
        <v>36</v>
      </c>
      <c r="C24" s="57" t="s">
        <v>121</v>
      </c>
      <c r="D24" s="57" t="s">
        <v>50</v>
      </c>
      <c r="E24" s="57">
        <v>90</v>
      </c>
      <c r="F24" s="57">
        <v>100</v>
      </c>
      <c r="G24" s="58">
        <v>90000</v>
      </c>
      <c r="H24" s="57">
        <v>68</v>
      </c>
      <c r="I24" s="58">
        <v>1120</v>
      </c>
      <c r="J24" s="59">
        <v>1460</v>
      </c>
    </row>
    <row r="25" spans="1:10" ht="15" thickBot="1" x14ac:dyDescent="0.35">
      <c r="A25" s="204"/>
      <c r="B25" s="129" t="s">
        <v>36</v>
      </c>
      <c r="C25" s="57" t="s">
        <v>122</v>
      </c>
      <c r="D25" s="57" t="s">
        <v>38</v>
      </c>
      <c r="E25" s="57">
        <v>240</v>
      </c>
      <c r="F25" s="57">
        <v>272</v>
      </c>
      <c r="G25" s="58">
        <v>340000</v>
      </c>
      <c r="H25" s="57">
        <v>102</v>
      </c>
      <c r="I25" s="57">
        <v>910</v>
      </c>
      <c r="J25" s="59">
        <v>1190</v>
      </c>
    </row>
    <row r="26" spans="1:10" ht="15" thickBot="1" x14ac:dyDescent="0.35">
      <c r="A26" s="204"/>
      <c r="B26" s="129" t="s">
        <v>36</v>
      </c>
      <c r="C26" s="57" t="s">
        <v>123</v>
      </c>
      <c r="D26" s="57" t="s">
        <v>38</v>
      </c>
      <c r="E26" s="57">
        <v>230</v>
      </c>
      <c r="F26" s="57">
        <v>992</v>
      </c>
      <c r="G26" s="58">
        <v>1020000</v>
      </c>
      <c r="H26" s="57">
        <v>291</v>
      </c>
      <c r="I26" s="58">
        <v>2060</v>
      </c>
      <c r="J26" s="59">
        <v>2670</v>
      </c>
    </row>
    <row r="27" spans="1:10" ht="15" thickBot="1" x14ac:dyDescent="0.35">
      <c r="A27" s="204"/>
      <c r="B27" s="130" t="s">
        <v>39</v>
      </c>
      <c r="C27" s="61" t="s">
        <v>51</v>
      </c>
      <c r="D27" s="61" t="s">
        <v>41</v>
      </c>
      <c r="E27" s="61">
        <v>100</v>
      </c>
      <c r="F27" s="61">
        <v>152</v>
      </c>
      <c r="G27" s="62">
        <v>420000</v>
      </c>
      <c r="H27" s="61">
        <v>477</v>
      </c>
      <c r="I27" s="62">
        <v>3870</v>
      </c>
      <c r="J27" s="63">
        <v>4400</v>
      </c>
    </row>
    <row r="28" spans="1:10" ht="15" thickBot="1" x14ac:dyDescent="0.35">
      <c r="A28" s="204"/>
      <c r="B28" s="130" t="s">
        <v>39</v>
      </c>
      <c r="C28" s="61" t="s">
        <v>52</v>
      </c>
      <c r="D28" s="61" t="s">
        <v>43</v>
      </c>
      <c r="E28" s="61">
        <v>170</v>
      </c>
      <c r="F28" s="61">
        <v>203</v>
      </c>
      <c r="G28" s="62">
        <v>450000</v>
      </c>
      <c r="H28" s="61">
        <v>337</v>
      </c>
      <c r="I28" s="62">
        <v>2430</v>
      </c>
      <c r="J28" s="63">
        <v>2760</v>
      </c>
    </row>
    <row r="29" spans="1:10" ht="15" thickBot="1" x14ac:dyDescent="0.35">
      <c r="A29" s="204"/>
      <c r="B29" s="130" t="s">
        <v>39</v>
      </c>
      <c r="C29" s="61" t="s">
        <v>124</v>
      </c>
      <c r="D29" s="61" t="s">
        <v>45</v>
      </c>
      <c r="E29" s="61">
        <v>310</v>
      </c>
      <c r="F29" s="61">
        <v>200</v>
      </c>
      <c r="G29" s="62">
        <v>3470000</v>
      </c>
      <c r="H29" s="62">
        <v>1410</v>
      </c>
      <c r="I29" s="62">
        <v>8280</v>
      </c>
      <c r="J29" s="63">
        <v>9410</v>
      </c>
    </row>
    <row r="30" spans="1:10" ht="15" thickBot="1" x14ac:dyDescent="0.35">
      <c r="A30" s="204"/>
      <c r="B30" s="132" t="s">
        <v>46</v>
      </c>
      <c r="C30" s="67" t="s">
        <v>125</v>
      </c>
      <c r="D30" s="67" t="s">
        <v>48</v>
      </c>
      <c r="E30" s="67">
        <v>330</v>
      </c>
      <c r="F30" s="67">
        <v>503</v>
      </c>
      <c r="G30" s="68">
        <v>8870000</v>
      </c>
      <c r="H30" s="68">
        <v>2975</v>
      </c>
      <c r="I30" s="68">
        <v>20550</v>
      </c>
      <c r="J30" s="69">
        <v>25110</v>
      </c>
    </row>
    <row r="31" spans="1:10" ht="15" thickBot="1" x14ac:dyDescent="0.35">
      <c r="A31" s="205"/>
      <c r="B31" s="133" t="s">
        <v>46</v>
      </c>
      <c r="C31" s="134" t="s">
        <v>126</v>
      </c>
      <c r="D31" s="134" t="s">
        <v>48</v>
      </c>
      <c r="E31" s="64">
        <v>140</v>
      </c>
      <c r="F31" s="64">
        <v>555</v>
      </c>
      <c r="G31" s="65">
        <v>4100000</v>
      </c>
      <c r="H31" s="65">
        <v>2850</v>
      </c>
      <c r="I31" s="65">
        <v>22780</v>
      </c>
      <c r="J31" s="66">
        <v>27840</v>
      </c>
    </row>
    <row r="32" spans="1:10" ht="15.6" thickTop="1" thickBot="1" x14ac:dyDescent="0.35">
      <c r="A32" s="1"/>
      <c r="B32" s="2"/>
      <c r="C32" s="2"/>
      <c r="D32" s="2"/>
      <c r="E32" s="2"/>
      <c r="F32" s="2"/>
      <c r="G32" s="3"/>
      <c r="H32" s="2"/>
      <c r="I32" s="2"/>
      <c r="J32" s="2"/>
    </row>
    <row r="33" spans="1:10" ht="15" thickBot="1" x14ac:dyDescent="0.35">
      <c r="A33" s="1"/>
      <c r="B33" s="2"/>
      <c r="C33" s="2"/>
      <c r="D33" s="2"/>
      <c r="E33" s="2"/>
      <c r="F33" s="2"/>
      <c r="G33" s="3"/>
      <c r="H33" s="2"/>
      <c r="I33" s="2"/>
      <c r="J33" s="2"/>
    </row>
    <row r="34" spans="1:10" ht="15" thickBot="1" x14ac:dyDescent="0.35">
      <c r="A34" s="1"/>
      <c r="B34" s="2"/>
      <c r="C34" s="2"/>
      <c r="D34" s="2"/>
      <c r="E34" s="2"/>
      <c r="F34" s="2"/>
      <c r="G34" s="3"/>
      <c r="H34" s="2"/>
      <c r="I34" s="2"/>
      <c r="J34" s="2"/>
    </row>
    <row r="35" spans="1:10" ht="15" thickBot="1" x14ac:dyDescent="0.35">
      <c r="A35" s="1"/>
      <c r="B35" s="2"/>
      <c r="C35" s="2"/>
      <c r="D35" s="2"/>
      <c r="E35" s="2"/>
      <c r="F35" s="2"/>
      <c r="G35" s="3"/>
      <c r="H35" s="2"/>
      <c r="I35" s="2"/>
      <c r="J35" s="2"/>
    </row>
    <row r="36" spans="1:10" ht="15" thickBot="1" x14ac:dyDescent="0.35">
      <c r="A36" s="1"/>
      <c r="B36" s="2"/>
      <c r="C36" s="2"/>
      <c r="D36" s="2"/>
      <c r="E36" s="2"/>
      <c r="F36" s="2"/>
      <c r="G36" s="3"/>
      <c r="H36" s="2"/>
      <c r="I36" s="2"/>
      <c r="J36" s="2"/>
    </row>
    <row r="37" spans="1:10" ht="15" thickBot="1" x14ac:dyDescent="0.35">
      <c r="A37" s="1"/>
      <c r="B37" s="2"/>
      <c r="C37" s="2"/>
      <c r="D37" s="2"/>
      <c r="E37" s="2"/>
      <c r="F37" s="2"/>
      <c r="G37" s="3"/>
      <c r="H37" s="2"/>
      <c r="I37" s="2"/>
      <c r="J37" s="2"/>
    </row>
    <row r="38" spans="1:10" ht="15" thickBot="1" x14ac:dyDescent="0.35">
      <c r="A38" s="1"/>
      <c r="B38" s="2"/>
      <c r="C38" s="2"/>
      <c r="D38" s="2"/>
      <c r="E38" s="2"/>
      <c r="F38" s="2"/>
      <c r="G38" s="3"/>
      <c r="H38" s="2"/>
      <c r="I38" s="2"/>
      <c r="J38" s="2"/>
    </row>
    <row r="39" spans="1:10" ht="15" thickBot="1" x14ac:dyDescent="0.35">
      <c r="A39" s="1"/>
      <c r="B39" s="2"/>
      <c r="C39" s="2"/>
      <c r="D39" s="2"/>
      <c r="E39" s="2"/>
      <c r="F39" s="2"/>
      <c r="G39" s="3"/>
      <c r="H39" s="2"/>
      <c r="I39" s="2"/>
      <c r="J39" s="2"/>
    </row>
    <row r="40" spans="1:10" ht="15" thickBot="1" x14ac:dyDescent="0.35">
      <c r="A40" s="1"/>
      <c r="B40" s="2"/>
      <c r="C40" s="2"/>
      <c r="D40" s="2"/>
      <c r="E40" s="2"/>
      <c r="F40" s="2"/>
      <c r="G40" s="3"/>
      <c r="H40" s="2"/>
      <c r="I40" s="2"/>
      <c r="J40" s="2"/>
    </row>
    <row r="41" spans="1:10" ht="15" thickBot="1" x14ac:dyDescent="0.35">
      <c r="A41" s="1"/>
      <c r="B41" s="2"/>
      <c r="C41" s="2"/>
      <c r="D41" s="2"/>
      <c r="E41" s="2"/>
      <c r="F41" s="2"/>
      <c r="G41" s="3"/>
      <c r="H41" s="2"/>
      <c r="I41" s="2"/>
      <c r="J41" s="2"/>
    </row>
    <row r="42" spans="1:10" ht="15" thickBot="1" x14ac:dyDescent="0.35">
      <c r="A42" s="1"/>
      <c r="B42" s="2"/>
      <c r="C42" s="2"/>
      <c r="D42" s="2"/>
      <c r="E42" s="2"/>
      <c r="F42" s="2"/>
      <c r="G42" s="3"/>
      <c r="H42" s="2"/>
      <c r="I42" s="2"/>
      <c r="J42" s="2"/>
    </row>
    <row r="43" spans="1:10" ht="15" thickBot="1" x14ac:dyDescent="0.35">
      <c r="A43" s="1"/>
      <c r="B43" s="2"/>
      <c r="C43" s="2"/>
      <c r="D43" s="2"/>
      <c r="E43" s="2"/>
      <c r="F43" s="2"/>
      <c r="G43" s="3"/>
      <c r="H43" s="2"/>
      <c r="I43" s="2"/>
      <c r="J43" s="2"/>
    </row>
    <row r="44" spans="1:10" ht="15" thickBot="1" x14ac:dyDescent="0.35">
      <c r="A44" s="1"/>
      <c r="B44" s="2"/>
      <c r="C44" s="2"/>
      <c r="D44" s="2"/>
      <c r="E44" s="2"/>
      <c r="F44" s="2"/>
      <c r="G44" s="3"/>
      <c r="H44" s="2"/>
      <c r="I44" s="2"/>
      <c r="J44" s="2"/>
    </row>
    <row r="45" spans="1:10" ht="15" thickBot="1" x14ac:dyDescent="0.35">
      <c r="A45" s="1"/>
      <c r="B45" s="2"/>
      <c r="C45" s="2"/>
      <c r="D45" s="2"/>
      <c r="E45" s="2"/>
      <c r="F45" s="2"/>
      <c r="G45" s="3"/>
      <c r="H45" s="2"/>
      <c r="I45" s="2"/>
      <c r="J45" s="2"/>
    </row>
    <row r="46" spans="1:10" ht="15" thickBot="1" x14ac:dyDescent="0.35">
      <c r="A46" s="1"/>
      <c r="B46" s="2"/>
      <c r="C46" s="2"/>
      <c r="D46" s="2"/>
      <c r="E46" s="2"/>
      <c r="F46" s="2"/>
      <c r="G46" s="3"/>
      <c r="H46" s="2"/>
      <c r="I46" s="2"/>
      <c r="J46" s="2"/>
    </row>
    <row r="47" spans="1:10" ht="15" thickBot="1" x14ac:dyDescent="0.35">
      <c r="A47" s="1"/>
      <c r="B47" s="2"/>
      <c r="C47" s="2"/>
      <c r="D47" s="2"/>
      <c r="E47" s="2"/>
      <c r="F47" s="2"/>
      <c r="G47" s="3"/>
      <c r="H47" s="2"/>
      <c r="I47" s="2"/>
      <c r="J47" s="2"/>
    </row>
    <row r="48" spans="1:10" ht="15" thickBot="1" x14ac:dyDescent="0.35">
      <c r="A48" s="1"/>
      <c r="B48" s="2"/>
      <c r="C48" s="2"/>
      <c r="D48" s="2"/>
      <c r="E48" s="2"/>
      <c r="F48" s="2"/>
      <c r="G48" s="3"/>
      <c r="H48" s="2"/>
      <c r="I48" s="2"/>
      <c r="J48" s="2"/>
    </row>
    <row r="49" spans="1:10" ht="15" thickBot="1" x14ac:dyDescent="0.35">
      <c r="A49" s="1"/>
      <c r="B49" s="2"/>
      <c r="C49" s="2"/>
      <c r="D49" s="2"/>
      <c r="E49" s="2"/>
      <c r="F49" s="2"/>
      <c r="G49" s="3"/>
      <c r="H49" s="2"/>
      <c r="I49" s="2"/>
      <c r="J49" s="2"/>
    </row>
    <row r="50" spans="1:10" ht="15" thickBot="1" x14ac:dyDescent="0.35">
      <c r="A50" s="1"/>
      <c r="B50" s="2"/>
      <c r="C50" s="2"/>
      <c r="D50" s="2"/>
      <c r="E50" s="2"/>
      <c r="F50" s="2"/>
      <c r="G50" s="3"/>
      <c r="H50" s="2"/>
      <c r="I50" s="2"/>
      <c r="J50" s="2"/>
    </row>
    <row r="51" spans="1:10" ht="15" thickBot="1" x14ac:dyDescent="0.35">
      <c r="A51" s="1"/>
      <c r="B51" s="2"/>
      <c r="C51" s="2"/>
      <c r="D51" s="2"/>
      <c r="E51" s="2"/>
      <c r="F51" s="2"/>
      <c r="G51" s="3"/>
      <c r="H51" s="2"/>
      <c r="I51" s="2"/>
      <c r="J51" s="2"/>
    </row>
    <row r="52" spans="1:10" ht="15" thickBot="1" x14ac:dyDescent="0.35">
      <c r="A52" s="1"/>
      <c r="B52" s="2"/>
      <c r="C52" s="2"/>
      <c r="D52" s="2"/>
      <c r="E52" s="2"/>
      <c r="F52" s="2"/>
      <c r="G52" s="3"/>
      <c r="H52" s="2"/>
      <c r="I52" s="2"/>
      <c r="J52" s="2"/>
    </row>
    <row r="53" spans="1:10" ht="15" thickBot="1" x14ac:dyDescent="0.35">
      <c r="A53" s="1"/>
      <c r="B53" s="2"/>
      <c r="C53" s="2"/>
      <c r="D53" s="2"/>
      <c r="E53" s="2"/>
      <c r="F53" s="2"/>
      <c r="G53" s="3"/>
      <c r="H53" s="2"/>
      <c r="I53" s="2"/>
      <c r="J53" s="2"/>
    </row>
    <row r="54" spans="1:10" ht="15" thickBot="1" x14ac:dyDescent="0.35">
      <c r="A54" s="1"/>
      <c r="B54" s="2"/>
      <c r="C54" s="2"/>
      <c r="D54" s="2"/>
      <c r="E54" s="2"/>
      <c r="F54" s="2"/>
      <c r="G54" s="3"/>
      <c r="H54" s="2"/>
      <c r="I54" s="2"/>
      <c r="J54" s="2"/>
    </row>
    <row r="55" spans="1:10" ht="15" thickBot="1" x14ac:dyDescent="0.35">
      <c r="A55" s="1"/>
      <c r="B55" s="2"/>
      <c r="C55" s="2"/>
      <c r="D55" s="2"/>
      <c r="E55" s="2"/>
      <c r="F55" s="2"/>
      <c r="G55" s="3"/>
      <c r="H55" s="2"/>
      <c r="I55" s="2"/>
      <c r="J55" s="2"/>
    </row>
    <row r="56" spans="1:10" ht="15" thickBot="1" x14ac:dyDescent="0.35">
      <c r="A56" s="1"/>
      <c r="B56" s="2"/>
      <c r="C56" s="2"/>
      <c r="D56" s="2"/>
      <c r="E56" s="2"/>
      <c r="F56" s="2"/>
      <c r="G56" s="3"/>
      <c r="H56" s="2"/>
      <c r="I56" s="2"/>
      <c r="J56" s="2"/>
    </row>
    <row r="57" spans="1:10" ht="15" thickBot="1" x14ac:dyDescent="0.35">
      <c r="A57" s="1"/>
      <c r="B57" s="2"/>
      <c r="C57" s="2"/>
      <c r="D57" s="2"/>
      <c r="E57" s="2"/>
      <c r="F57" s="2"/>
      <c r="G57" s="3"/>
      <c r="H57" s="2"/>
      <c r="I57" s="2"/>
      <c r="J57" s="2"/>
    </row>
    <row r="58" spans="1:10" ht="15" thickBot="1" x14ac:dyDescent="0.35">
      <c r="A58" s="1"/>
      <c r="B58" s="2"/>
      <c r="C58" s="2"/>
      <c r="D58" s="2"/>
      <c r="E58" s="2"/>
      <c r="F58" s="2"/>
      <c r="G58" s="3"/>
      <c r="H58" s="2"/>
      <c r="I58" s="2"/>
      <c r="J58" s="2"/>
    </row>
    <row r="59" spans="1:10" ht="15" thickBot="1" x14ac:dyDescent="0.35">
      <c r="A59" s="1"/>
      <c r="B59" s="2"/>
      <c r="C59" s="2"/>
      <c r="D59" s="2"/>
      <c r="E59" s="2"/>
      <c r="F59" s="2"/>
      <c r="G59" s="3"/>
      <c r="H59" s="2"/>
      <c r="I59" s="2"/>
      <c r="J59" s="2"/>
    </row>
    <row r="60" spans="1:10" ht="15" thickBot="1" x14ac:dyDescent="0.35">
      <c r="A60" s="1"/>
      <c r="B60" s="2"/>
      <c r="C60" s="2"/>
      <c r="D60" s="2"/>
      <c r="E60" s="2"/>
      <c r="F60" s="2"/>
      <c r="G60" s="3"/>
      <c r="H60" s="2"/>
      <c r="I60" s="2"/>
      <c r="J60" s="2"/>
    </row>
    <row r="61" spans="1:10" ht="15" thickBot="1" x14ac:dyDescent="0.35">
      <c r="A61" s="1"/>
      <c r="B61" s="2"/>
      <c r="C61" s="2"/>
      <c r="D61" s="2"/>
      <c r="E61" s="2"/>
      <c r="F61" s="2"/>
      <c r="G61" s="3"/>
      <c r="H61" s="2"/>
      <c r="I61" s="2"/>
      <c r="J61" s="2"/>
    </row>
    <row r="62" spans="1:10" ht="15" thickBot="1" x14ac:dyDescent="0.35">
      <c r="A62" s="1"/>
      <c r="B62" s="2"/>
      <c r="C62" s="2"/>
      <c r="D62" s="2"/>
      <c r="E62" s="2"/>
      <c r="F62" s="2"/>
      <c r="G62" s="3"/>
      <c r="H62" s="2"/>
      <c r="I62" s="2"/>
      <c r="J62" s="2"/>
    </row>
    <row r="63" spans="1:10" ht="15" thickBot="1" x14ac:dyDescent="0.35">
      <c r="A63" s="1"/>
      <c r="B63" s="2"/>
      <c r="C63" s="2"/>
      <c r="D63" s="2"/>
      <c r="E63" s="2"/>
      <c r="F63" s="2"/>
      <c r="G63" s="3"/>
      <c r="H63" s="2"/>
      <c r="I63" s="2"/>
      <c r="J63" s="2"/>
    </row>
    <row r="64" spans="1:10" ht="15" thickBot="1" x14ac:dyDescent="0.35">
      <c r="A64" s="1"/>
      <c r="B64" s="2"/>
      <c r="C64" s="2"/>
      <c r="D64" s="2"/>
      <c r="E64" s="2"/>
      <c r="F64" s="2"/>
      <c r="G64" s="3"/>
      <c r="H64" s="2"/>
      <c r="I64" s="2"/>
      <c r="J64" s="2"/>
    </row>
    <row r="65" spans="1:10" ht="15" thickBot="1" x14ac:dyDescent="0.35">
      <c r="A65" s="1"/>
      <c r="B65" s="2"/>
      <c r="C65" s="2"/>
      <c r="D65" s="2"/>
      <c r="E65" s="2"/>
      <c r="F65" s="2"/>
      <c r="G65" s="3"/>
      <c r="H65" s="2"/>
      <c r="I65" s="2"/>
      <c r="J65" s="2"/>
    </row>
    <row r="66" spans="1:10" ht="15" thickBot="1" x14ac:dyDescent="0.35">
      <c r="A66" s="1"/>
      <c r="B66" s="2"/>
      <c r="C66" s="2"/>
      <c r="D66" s="2"/>
      <c r="E66" s="2"/>
      <c r="F66" s="2"/>
      <c r="G66" s="3"/>
      <c r="H66" s="2"/>
      <c r="I66" s="2"/>
      <c r="J66" s="2"/>
    </row>
    <row r="67" spans="1:10" ht="15" thickBot="1" x14ac:dyDescent="0.35">
      <c r="A67" s="1"/>
      <c r="B67" s="2"/>
      <c r="C67" s="2"/>
      <c r="D67" s="2"/>
      <c r="E67" s="2"/>
      <c r="F67" s="2"/>
      <c r="G67" s="3"/>
      <c r="H67" s="2"/>
      <c r="I67" s="2"/>
      <c r="J67" s="2"/>
    </row>
    <row r="68" spans="1:10" ht="15" thickBot="1" x14ac:dyDescent="0.35">
      <c r="A68" s="1"/>
      <c r="B68" s="2"/>
      <c r="C68" s="2"/>
      <c r="D68" s="2"/>
      <c r="E68" s="2"/>
      <c r="F68" s="2"/>
      <c r="G68" s="3"/>
      <c r="H68" s="2"/>
      <c r="I68" s="2"/>
      <c r="J68" s="2"/>
    </row>
    <row r="69" spans="1:10" ht="15" thickBot="1" x14ac:dyDescent="0.35">
      <c r="A69" s="1"/>
      <c r="B69" s="2"/>
      <c r="C69" s="2"/>
      <c r="D69" s="2"/>
      <c r="E69" s="2"/>
      <c r="F69" s="2"/>
      <c r="G69" s="3"/>
      <c r="H69" s="2"/>
      <c r="I69" s="2"/>
      <c r="J69" s="2"/>
    </row>
    <row r="70" spans="1:10" ht="15" thickBot="1" x14ac:dyDescent="0.35">
      <c r="A70" s="1"/>
      <c r="B70" s="2"/>
      <c r="C70" s="2"/>
      <c r="D70" s="2"/>
      <c r="E70" s="2"/>
      <c r="F70" s="2"/>
      <c r="G70" s="3"/>
      <c r="H70" s="2"/>
      <c r="I70" s="2"/>
      <c r="J70" s="2"/>
    </row>
    <row r="71" spans="1:10" ht="15" thickBot="1" x14ac:dyDescent="0.35">
      <c r="A71" s="1"/>
      <c r="B71" s="2"/>
      <c r="C71" s="2"/>
      <c r="D71" s="2"/>
      <c r="E71" s="2"/>
      <c r="F71" s="2"/>
      <c r="G71" s="3"/>
      <c r="H71" s="2"/>
      <c r="I71" s="2"/>
      <c r="J71" s="2"/>
    </row>
    <row r="72" spans="1:10" ht="15" thickBot="1" x14ac:dyDescent="0.35">
      <c r="A72" s="1"/>
      <c r="B72" s="2"/>
      <c r="C72" s="2"/>
      <c r="D72" s="2"/>
      <c r="E72" s="2"/>
      <c r="F72" s="2"/>
      <c r="G72" s="3"/>
      <c r="H72" s="2"/>
      <c r="I72" s="2"/>
      <c r="J72" s="2"/>
    </row>
    <row r="73" spans="1:10" ht="15" thickBot="1" x14ac:dyDescent="0.35">
      <c r="A73" s="1"/>
      <c r="B73" s="2"/>
      <c r="C73" s="2"/>
      <c r="D73" s="2"/>
      <c r="E73" s="2"/>
      <c r="F73" s="2"/>
      <c r="G73" s="3"/>
      <c r="H73" s="2"/>
      <c r="I73" s="2"/>
      <c r="J73" s="2"/>
    </row>
    <row r="74" spans="1:10" ht="15" thickBot="1" x14ac:dyDescent="0.35">
      <c r="A74" s="1"/>
      <c r="B74" s="2"/>
      <c r="C74" s="2"/>
      <c r="D74" s="2"/>
      <c r="E74" s="2"/>
      <c r="F74" s="2"/>
      <c r="G74" s="3"/>
      <c r="H74" s="2"/>
      <c r="I74" s="2"/>
      <c r="J74" s="2"/>
    </row>
    <row r="75" spans="1:10" ht="15" thickBot="1" x14ac:dyDescent="0.35">
      <c r="A75" s="1"/>
      <c r="B75" s="2"/>
      <c r="C75" s="2"/>
      <c r="D75" s="2"/>
      <c r="E75" s="2"/>
      <c r="F75" s="2"/>
      <c r="G75" s="3"/>
      <c r="H75" s="2"/>
      <c r="I75" s="2"/>
      <c r="J75" s="2"/>
    </row>
    <row r="76" spans="1:10" ht="15" thickBot="1" x14ac:dyDescent="0.35">
      <c r="A76" s="1"/>
      <c r="B76" s="2"/>
      <c r="C76" s="2"/>
      <c r="D76" s="2"/>
      <c r="E76" s="2"/>
      <c r="F76" s="2"/>
      <c r="G76" s="3"/>
      <c r="H76" s="2"/>
      <c r="I76" s="2"/>
      <c r="J76" s="2"/>
    </row>
    <row r="77" spans="1:10" ht="15" thickBot="1" x14ac:dyDescent="0.35">
      <c r="A77" s="1"/>
      <c r="B77" s="2"/>
      <c r="C77" s="2"/>
      <c r="D77" s="2"/>
      <c r="E77" s="2"/>
      <c r="F77" s="2"/>
      <c r="G77" s="3"/>
      <c r="H77" s="2"/>
      <c r="I77" s="2"/>
      <c r="J77" s="2"/>
    </row>
    <row r="78" spans="1:10" ht="15" thickBot="1" x14ac:dyDescent="0.35">
      <c r="A78" s="1"/>
      <c r="B78" s="2"/>
      <c r="C78" s="2"/>
      <c r="D78" s="2"/>
      <c r="E78" s="2"/>
      <c r="F78" s="2"/>
      <c r="G78" s="3"/>
      <c r="H78" s="2"/>
      <c r="I78" s="2"/>
      <c r="J78" s="2"/>
    </row>
    <row r="79" spans="1:10" ht="15" thickBot="1" x14ac:dyDescent="0.35">
      <c r="A79" s="1"/>
      <c r="B79" s="2"/>
      <c r="C79" s="2"/>
      <c r="D79" s="2"/>
      <c r="E79" s="2"/>
      <c r="F79" s="2"/>
      <c r="G79" s="3"/>
      <c r="H79" s="2"/>
      <c r="I79" s="2"/>
      <c r="J79" s="2"/>
    </row>
    <row r="80" spans="1:10" ht="15" thickBot="1" x14ac:dyDescent="0.35">
      <c r="A80" s="1"/>
      <c r="B80" s="2"/>
      <c r="C80" s="2"/>
      <c r="D80" s="2"/>
      <c r="E80" s="2"/>
      <c r="F80" s="2"/>
      <c r="G80" s="3"/>
      <c r="H80" s="2"/>
      <c r="I80" s="2"/>
      <c r="J80" s="2"/>
    </row>
    <row r="81" spans="1:10" ht="15" thickBot="1" x14ac:dyDescent="0.35">
      <c r="A81" s="1"/>
      <c r="B81" s="2"/>
      <c r="C81" s="2"/>
      <c r="D81" s="2"/>
      <c r="E81" s="2"/>
      <c r="F81" s="2"/>
      <c r="G81" s="3"/>
      <c r="H81" s="2"/>
      <c r="I81" s="2"/>
      <c r="J81" s="2"/>
    </row>
    <row r="82" spans="1:10" ht="15" thickBot="1" x14ac:dyDescent="0.35">
      <c r="A82" s="1"/>
      <c r="B82" s="2"/>
      <c r="C82" s="2"/>
      <c r="D82" s="2"/>
      <c r="E82" s="2"/>
      <c r="F82" s="2"/>
      <c r="G82" s="3"/>
      <c r="H82" s="2"/>
      <c r="I82" s="2"/>
      <c r="J82" s="2"/>
    </row>
    <row r="83" spans="1:10" ht="15" thickBot="1" x14ac:dyDescent="0.35">
      <c r="A83" s="1"/>
      <c r="B83" s="2"/>
      <c r="C83" s="2"/>
      <c r="D83" s="2"/>
      <c r="E83" s="2"/>
      <c r="F83" s="2"/>
      <c r="G83" s="3"/>
      <c r="H83" s="2"/>
      <c r="I83" s="2"/>
      <c r="J83" s="2"/>
    </row>
    <row r="84" spans="1:10" ht="15" thickBot="1" x14ac:dyDescent="0.35">
      <c r="A84" s="1"/>
      <c r="B84" s="2"/>
      <c r="C84" s="2"/>
      <c r="D84" s="2"/>
      <c r="E84" s="2"/>
      <c r="F84" s="2"/>
      <c r="G84" s="3"/>
      <c r="H84" s="2"/>
      <c r="I84" s="2"/>
      <c r="J84" s="2"/>
    </row>
    <row r="85" spans="1:10" ht="15" thickBot="1" x14ac:dyDescent="0.35">
      <c r="A85" s="1"/>
      <c r="B85" s="2"/>
      <c r="C85" s="2"/>
      <c r="D85" s="2"/>
      <c r="E85" s="2"/>
      <c r="F85" s="2"/>
      <c r="G85" s="3"/>
      <c r="H85" s="2"/>
      <c r="I85" s="2"/>
      <c r="J85" s="2"/>
    </row>
    <row r="86" spans="1:10" ht="15" thickBot="1" x14ac:dyDescent="0.35">
      <c r="A86" s="1"/>
      <c r="B86" s="2"/>
      <c r="C86" s="2"/>
      <c r="D86" s="2"/>
      <c r="E86" s="2"/>
      <c r="F86" s="2"/>
      <c r="G86" s="3"/>
      <c r="H86" s="2"/>
      <c r="I86" s="2"/>
      <c r="J86" s="2"/>
    </row>
    <row r="87" spans="1:10" ht="15" thickBot="1" x14ac:dyDescent="0.35">
      <c r="A87" s="1"/>
      <c r="B87" s="2"/>
      <c r="C87" s="2"/>
      <c r="D87" s="2"/>
      <c r="E87" s="2"/>
      <c r="F87" s="2"/>
      <c r="G87" s="3"/>
      <c r="H87" s="2"/>
      <c r="I87" s="2"/>
      <c r="J87" s="2"/>
    </row>
    <row r="88" spans="1:10" ht="15" thickBot="1" x14ac:dyDescent="0.35">
      <c r="A88" s="1"/>
      <c r="B88" s="2"/>
      <c r="C88" s="2"/>
      <c r="D88" s="2"/>
      <c r="E88" s="2"/>
      <c r="F88" s="2"/>
      <c r="G88" s="3"/>
      <c r="H88" s="2"/>
      <c r="I88" s="2"/>
      <c r="J88" s="2"/>
    </row>
    <row r="89" spans="1:10" ht="15" thickBot="1" x14ac:dyDescent="0.35">
      <c r="A89" s="1"/>
      <c r="B89" s="2"/>
      <c r="C89" s="2"/>
      <c r="D89" s="2"/>
      <c r="E89" s="2"/>
      <c r="F89" s="2"/>
      <c r="G89" s="3"/>
      <c r="H89" s="2"/>
      <c r="I89" s="2"/>
      <c r="J89" s="2"/>
    </row>
    <row r="90" spans="1:10" ht="15" thickBot="1" x14ac:dyDescent="0.35">
      <c r="A90" s="1"/>
      <c r="B90" s="2"/>
      <c r="C90" s="2"/>
      <c r="D90" s="2"/>
      <c r="E90" s="2"/>
      <c r="F90" s="2"/>
      <c r="G90" s="3"/>
      <c r="H90" s="2"/>
      <c r="I90" s="2"/>
      <c r="J90" s="2"/>
    </row>
    <row r="91" spans="1:10" ht="15" thickBot="1" x14ac:dyDescent="0.35">
      <c r="A91" s="1"/>
      <c r="B91" s="2"/>
      <c r="C91" s="2"/>
      <c r="D91" s="2"/>
      <c r="E91" s="2"/>
      <c r="F91" s="2"/>
      <c r="G91" s="3"/>
      <c r="H91" s="2"/>
      <c r="I91" s="2"/>
      <c r="J91" s="2"/>
    </row>
    <row r="92" spans="1:10" ht="15" thickBot="1" x14ac:dyDescent="0.35">
      <c r="A92" s="1"/>
      <c r="B92" s="2"/>
      <c r="C92" s="2"/>
      <c r="D92" s="2"/>
      <c r="E92" s="2"/>
      <c r="F92" s="2"/>
      <c r="G92" s="3"/>
      <c r="H92" s="2"/>
      <c r="I92" s="2"/>
      <c r="J92" s="2"/>
    </row>
    <row r="93" spans="1:10" ht="15" thickBot="1" x14ac:dyDescent="0.35">
      <c r="A93" s="1"/>
      <c r="B93" s="2"/>
      <c r="C93" s="2"/>
      <c r="D93" s="2"/>
      <c r="E93" s="2"/>
      <c r="F93" s="2"/>
      <c r="G93" s="3"/>
      <c r="H93" s="2"/>
      <c r="I93" s="2"/>
      <c r="J93" s="2"/>
    </row>
    <row r="94" spans="1:10" ht="15" thickBot="1" x14ac:dyDescent="0.35">
      <c r="A94" s="1"/>
      <c r="B94" s="2"/>
      <c r="C94" s="2"/>
      <c r="D94" s="2"/>
      <c r="E94" s="2"/>
      <c r="F94" s="2"/>
      <c r="G94" s="3"/>
      <c r="H94" s="2"/>
      <c r="I94" s="2"/>
      <c r="J94" s="2"/>
    </row>
    <row r="95" spans="1:10" ht="15" thickBot="1" x14ac:dyDescent="0.35">
      <c r="A95" s="1"/>
      <c r="B95" s="2"/>
      <c r="C95" s="2"/>
      <c r="D95" s="2"/>
      <c r="E95" s="2"/>
      <c r="F95" s="2"/>
      <c r="G95" s="3"/>
      <c r="H95" s="2"/>
      <c r="I95" s="2"/>
      <c r="J95" s="2"/>
    </row>
    <row r="96" spans="1:10" ht="15" thickBot="1" x14ac:dyDescent="0.35">
      <c r="A96" s="1"/>
      <c r="B96" s="2"/>
      <c r="C96" s="2"/>
      <c r="D96" s="2"/>
      <c r="E96" s="2"/>
      <c r="F96" s="2"/>
      <c r="G96" s="3"/>
      <c r="H96" s="2"/>
      <c r="I96" s="2"/>
      <c r="J96" s="2"/>
    </row>
    <row r="97" spans="1:10" ht="15" thickBot="1" x14ac:dyDescent="0.35">
      <c r="A97" s="1"/>
      <c r="B97" s="2"/>
      <c r="C97" s="2"/>
      <c r="D97" s="2"/>
      <c r="E97" s="2"/>
      <c r="F97" s="2"/>
      <c r="G97" s="3"/>
      <c r="H97" s="2"/>
      <c r="I97" s="2"/>
      <c r="J97" s="2"/>
    </row>
    <row r="98" spans="1:10" ht="15" thickBot="1" x14ac:dyDescent="0.35">
      <c r="A98" s="1"/>
      <c r="B98" s="2"/>
      <c r="C98" s="2"/>
      <c r="D98" s="2"/>
      <c r="E98" s="2"/>
      <c r="F98" s="2"/>
      <c r="G98" s="3"/>
      <c r="H98" s="2"/>
      <c r="I98" s="2"/>
      <c r="J98" s="2"/>
    </row>
    <row r="99" spans="1:10" ht="15" thickBot="1" x14ac:dyDescent="0.35">
      <c r="A99" s="1"/>
      <c r="B99" s="2"/>
      <c r="C99" s="2"/>
      <c r="D99" s="2"/>
      <c r="E99" s="2"/>
      <c r="F99" s="2"/>
      <c r="G99" s="3"/>
      <c r="H99" s="2"/>
      <c r="I99" s="2"/>
      <c r="J99" s="2"/>
    </row>
    <row r="100" spans="1:10" ht="15" thickBot="1" x14ac:dyDescent="0.35">
      <c r="A100" s="1"/>
      <c r="B100" s="2"/>
      <c r="C100" s="2"/>
      <c r="D100" s="2"/>
      <c r="E100" s="2"/>
      <c r="F100" s="2"/>
      <c r="G100" s="3"/>
      <c r="H100" s="2"/>
      <c r="I100" s="2"/>
      <c r="J100" s="2"/>
    </row>
    <row r="101" spans="1:10" ht="15" thickBot="1" x14ac:dyDescent="0.35">
      <c r="A101" s="1"/>
      <c r="B101" s="2"/>
      <c r="C101" s="2"/>
      <c r="D101" s="2"/>
      <c r="E101" s="2"/>
      <c r="F101" s="2"/>
      <c r="G101" s="3"/>
      <c r="H101" s="2"/>
      <c r="I101" s="2"/>
      <c r="J101" s="2"/>
    </row>
    <row r="102" spans="1:10" ht="15" thickBot="1" x14ac:dyDescent="0.35">
      <c r="A102" s="1"/>
      <c r="B102" s="2"/>
      <c r="C102" s="2"/>
      <c r="D102" s="2"/>
      <c r="E102" s="2"/>
      <c r="F102" s="2"/>
      <c r="G102" s="3"/>
      <c r="H102" s="2"/>
      <c r="I102" s="2"/>
      <c r="J102" s="2"/>
    </row>
    <row r="103" spans="1:10" ht="15" thickBot="1" x14ac:dyDescent="0.35">
      <c r="A103" s="1"/>
      <c r="B103" s="2"/>
      <c r="C103" s="2"/>
      <c r="D103" s="2"/>
      <c r="E103" s="2"/>
      <c r="F103" s="2"/>
      <c r="G103" s="3"/>
      <c r="H103" s="2"/>
      <c r="I103" s="2"/>
      <c r="J103" s="2"/>
    </row>
    <row r="104" spans="1:10" ht="15" thickBot="1" x14ac:dyDescent="0.35">
      <c r="A104" s="1"/>
      <c r="B104" s="2"/>
      <c r="C104" s="2"/>
      <c r="D104" s="2"/>
      <c r="E104" s="2"/>
      <c r="F104" s="2"/>
      <c r="G104" s="3"/>
      <c r="H104" s="2"/>
      <c r="I104" s="2"/>
      <c r="J104" s="2"/>
    </row>
    <row r="105" spans="1:10" ht="15" thickBot="1" x14ac:dyDescent="0.35">
      <c r="A105" s="1"/>
      <c r="B105" s="2"/>
      <c r="C105" s="2"/>
      <c r="D105" s="2"/>
      <c r="E105" s="2"/>
      <c r="F105" s="2"/>
      <c r="G105" s="3"/>
      <c r="H105" s="2"/>
      <c r="I105" s="2"/>
      <c r="J105" s="2"/>
    </row>
    <row r="106" spans="1:10" ht="15" thickBot="1" x14ac:dyDescent="0.35">
      <c r="A106" s="1"/>
      <c r="B106" s="2"/>
      <c r="C106" s="2"/>
      <c r="D106" s="2"/>
      <c r="E106" s="2"/>
      <c r="F106" s="2"/>
      <c r="G106" s="3"/>
      <c r="H106" s="2"/>
      <c r="I106" s="2"/>
      <c r="J106" s="2"/>
    </row>
    <row r="107" spans="1:10" ht="15" thickBot="1" x14ac:dyDescent="0.35">
      <c r="A107" s="1"/>
      <c r="B107" s="2"/>
      <c r="C107" s="2"/>
      <c r="D107" s="2"/>
      <c r="E107" s="2"/>
      <c r="F107" s="2"/>
      <c r="G107" s="3"/>
      <c r="H107" s="2"/>
      <c r="I107" s="2"/>
      <c r="J107" s="2"/>
    </row>
    <row r="108" spans="1:10" ht="15" thickBot="1" x14ac:dyDescent="0.35">
      <c r="A108" s="1"/>
      <c r="B108" s="2"/>
      <c r="C108" s="2"/>
      <c r="D108" s="2"/>
      <c r="E108" s="2"/>
      <c r="F108" s="2"/>
      <c r="G108" s="3"/>
      <c r="H108" s="2"/>
      <c r="I108" s="2"/>
      <c r="J108" s="2"/>
    </row>
    <row r="109" spans="1:10" ht="15" thickBot="1" x14ac:dyDescent="0.35">
      <c r="A109" s="1"/>
      <c r="B109" s="2"/>
      <c r="C109" s="2"/>
      <c r="D109" s="2"/>
      <c r="E109" s="2"/>
      <c r="F109" s="2"/>
      <c r="G109" s="3"/>
      <c r="H109" s="2"/>
      <c r="I109" s="2"/>
      <c r="J109" s="2"/>
    </row>
    <row r="110" spans="1:10" ht="15" thickBot="1" x14ac:dyDescent="0.35">
      <c r="A110" s="1"/>
      <c r="B110" s="2"/>
      <c r="C110" s="2"/>
      <c r="D110" s="2"/>
      <c r="E110" s="2"/>
      <c r="F110" s="2"/>
      <c r="G110" s="3"/>
      <c r="H110" s="2"/>
      <c r="I110" s="2"/>
      <c r="J110" s="2"/>
    </row>
    <row r="111" spans="1:10" ht="15" thickBot="1" x14ac:dyDescent="0.35">
      <c r="A111" s="1"/>
      <c r="B111" s="2"/>
      <c r="C111" s="2"/>
      <c r="D111" s="2"/>
      <c r="E111" s="2"/>
      <c r="F111" s="2"/>
      <c r="G111" s="3"/>
      <c r="H111" s="2"/>
      <c r="I111" s="2"/>
      <c r="J111" s="2"/>
    </row>
    <row r="112" spans="1:10" ht="15" thickBot="1" x14ac:dyDescent="0.35">
      <c r="A112" s="1"/>
      <c r="B112" s="2"/>
      <c r="C112" s="2"/>
      <c r="D112" s="2"/>
      <c r="E112" s="2"/>
      <c r="F112" s="2"/>
      <c r="G112" s="3"/>
      <c r="H112" s="2"/>
      <c r="I112" s="2"/>
      <c r="J112" s="2"/>
    </row>
    <row r="113" spans="1:10" ht="15" thickBot="1" x14ac:dyDescent="0.35">
      <c r="A113" s="1"/>
      <c r="B113" s="2"/>
      <c r="C113" s="2"/>
      <c r="D113" s="2"/>
      <c r="E113" s="2"/>
      <c r="F113" s="2"/>
      <c r="G113" s="3"/>
      <c r="H113" s="2"/>
      <c r="I113" s="2"/>
      <c r="J113" s="2"/>
    </row>
    <row r="114" spans="1:10" ht="15" thickBot="1" x14ac:dyDescent="0.35">
      <c r="A114" s="1"/>
      <c r="B114" s="2"/>
      <c r="C114" s="2"/>
      <c r="D114" s="2"/>
      <c r="E114" s="2"/>
      <c r="F114" s="2"/>
      <c r="G114" s="3"/>
      <c r="H114" s="2"/>
      <c r="I114" s="2"/>
      <c r="J114" s="2"/>
    </row>
    <row r="115" spans="1:10" ht="15" thickBot="1" x14ac:dyDescent="0.35">
      <c r="A115" s="1"/>
      <c r="B115" s="2"/>
      <c r="C115" s="2"/>
      <c r="D115" s="2"/>
      <c r="E115" s="2"/>
      <c r="F115" s="2"/>
      <c r="G115" s="3"/>
      <c r="H115" s="2"/>
      <c r="I115" s="2"/>
      <c r="J115" s="2"/>
    </row>
    <row r="116" spans="1:10" ht="15" thickBot="1" x14ac:dyDescent="0.35">
      <c r="A116" s="1"/>
      <c r="B116" s="2"/>
      <c r="C116" s="2"/>
      <c r="D116" s="2"/>
      <c r="E116" s="2"/>
      <c r="F116" s="2"/>
      <c r="G116" s="3"/>
      <c r="H116" s="2"/>
      <c r="I116" s="2"/>
      <c r="J116" s="2"/>
    </row>
    <row r="117" spans="1:10" ht="15" thickBot="1" x14ac:dyDescent="0.35">
      <c r="A117" s="1"/>
      <c r="B117" s="2"/>
      <c r="C117" s="2"/>
      <c r="D117" s="2"/>
      <c r="E117" s="2"/>
      <c r="F117" s="2"/>
      <c r="G117" s="3"/>
      <c r="H117" s="2"/>
      <c r="I117" s="2"/>
      <c r="J117" s="2"/>
    </row>
    <row r="118" spans="1:10" ht="15" thickBot="1" x14ac:dyDescent="0.35">
      <c r="A118" s="1"/>
      <c r="B118" s="2"/>
      <c r="C118" s="2"/>
      <c r="D118" s="2"/>
      <c r="E118" s="2"/>
      <c r="F118" s="2"/>
      <c r="G118" s="3"/>
      <c r="H118" s="2"/>
      <c r="I118" s="2"/>
      <c r="J118" s="2"/>
    </row>
    <row r="119" spans="1:10" ht="15" thickBot="1" x14ac:dyDescent="0.35">
      <c r="A119" s="1"/>
      <c r="B119" s="2"/>
      <c r="C119" s="2"/>
      <c r="D119" s="2"/>
      <c r="E119" s="2"/>
      <c r="F119" s="2"/>
      <c r="G119" s="3"/>
      <c r="H119" s="2"/>
      <c r="I119" s="2"/>
      <c r="J119" s="2"/>
    </row>
    <row r="120" spans="1:10" ht="15" thickBot="1" x14ac:dyDescent="0.35">
      <c r="A120" s="1"/>
      <c r="B120" s="2"/>
      <c r="C120" s="2"/>
      <c r="D120" s="2"/>
      <c r="E120" s="2"/>
      <c r="F120" s="2"/>
      <c r="G120" s="3"/>
      <c r="H120" s="2"/>
      <c r="I120" s="2"/>
      <c r="J120" s="2"/>
    </row>
    <row r="121" spans="1:10" ht="15" thickBot="1" x14ac:dyDescent="0.35">
      <c r="A121" s="1"/>
      <c r="B121" s="2"/>
      <c r="C121" s="2"/>
      <c r="D121" s="2"/>
      <c r="E121" s="2"/>
      <c r="F121" s="2"/>
      <c r="G121" s="3"/>
      <c r="H121" s="2"/>
      <c r="I121" s="2"/>
      <c r="J121" s="2"/>
    </row>
    <row r="122" spans="1:10" ht="15" thickBot="1" x14ac:dyDescent="0.35">
      <c r="A122" s="1"/>
      <c r="B122" s="2"/>
      <c r="C122" s="2"/>
      <c r="D122" s="2"/>
      <c r="E122" s="2"/>
      <c r="F122" s="2"/>
      <c r="G122" s="3"/>
      <c r="H122" s="2"/>
      <c r="I122" s="2"/>
      <c r="J122" s="2"/>
    </row>
    <row r="123" spans="1:10" ht="15" thickBot="1" x14ac:dyDescent="0.35">
      <c r="A123" s="1"/>
      <c r="B123" s="2"/>
      <c r="C123" s="2"/>
      <c r="D123" s="2"/>
      <c r="E123" s="2"/>
      <c r="F123" s="2"/>
      <c r="G123" s="3"/>
      <c r="H123" s="2"/>
      <c r="I123" s="2"/>
      <c r="J123" s="2"/>
    </row>
    <row r="124" spans="1:10" ht="15" thickBot="1" x14ac:dyDescent="0.35">
      <c r="A124" s="1"/>
      <c r="B124" s="2"/>
      <c r="C124" s="2"/>
      <c r="D124" s="2"/>
      <c r="E124" s="2"/>
      <c r="F124" s="2"/>
      <c r="G124" s="3"/>
      <c r="H124" s="2"/>
      <c r="I124" s="2"/>
      <c r="J124" s="2"/>
    </row>
    <row r="125" spans="1:10" ht="15" thickBot="1" x14ac:dyDescent="0.35">
      <c r="A125" s="1"/>
      <c r="B125" s="2"/>
      <c r="C125" s="2"/>
      <c r="D125" s="2"/>
      <c r="E125" s="2"/>
      <c r="F125" s="2"/>
      <c r="G125" s="3"/>
      <c r="H125" s="2"/>
      <c r="I125" s="2"/>
      <c r="J125" s="2"/>
    </row>
    <row r="126" spans="1:10" ht="15" thickBot="1" x14ac:dyDescent="0.35">
      <c r="A126" s="1"/>
      <c r="B126" s="2"/>
      <c r="C126" s="2"/>
      <c r="D126" s="2"/>
      <c r="E126" s="2"/>
      <c r="F126" s="2"/>
      <c r="G126" s="3"/>
      <c r="H126" s="2"/>
      <c r="I126" s="2"/>
      <c r="J126" s="2"/>
    </row>
    <row r="127" spans="1:10" ht="15" thickBot="1" x14ac:dyDescent="0.35">
      <c r="A127" s="1"/>
      <c r="B127" s="2"/>
      <c r="C127" s="2"/>
      <c r="D127" s="2"/>
      <c r="E127" s="2"/>
      <c r="F127" s="2"/>
      <c r="G127" s="3"/>
      <c r="H127" s="2"/>
      <c r="I127" s="2"/>
      <c r="J127" s="2"/>
    </row>
    <row r="128" spans="1:10" ht="15" thickBot="1" x14ac:dyDescent="0.35">
      <c r="A128" s="1"/>
      <c r="B128" s="2"/>
      <c r="C128" s="2"/>
      <c r="D128" s="2"/>
      <c r="E128" s="2"/>
      <c r="F128" s="2"/>
      <c r="G128" s="3"/>
      <c r="H128" s="2"/>
      <c r="I128" s="2"/>
      <c r="J128" s="2"/>
    </row>
    <row r="129" spans="1:10" ht="15" thickBot="1" x14ac:dyDescent="0.35">
      <c r="A129" s="1"/>
      <c r="B129" s="2"/>
      <c r="C129" s="2"/>
      <c r="D129" s="2"/>
      <c r="E129" s="2"/>
      <c r="F129" s="2"/>
      <c r="G129" s="3"/>
      <c r="H129" s="2"/>
      <c r="I129" s="2"/>
      <c r="J129" s="2"/>
    </row>
    <row r="130" spans="1:10" ht="15" thickBot="1" x14ac:dyDescent="0.35">
      <c r="A130" s="1"/>
      <c r="B130" s="2"/>
      <c r="C130" s="2"/>
      <c r="D130" s="2"/>
      <c r="E130" s="2"/>
      <c r="F130" s="2"/>
      <c r="G130" s="3"/>
      <c r="H130" s="2"/>
      <c r="I130" s="2"/>
      <c r="J130" s="2"/>
    </row>
    <row r="131" spans="1:10" ht="15" thickBot="1" x14ac:dyDescent="0.35">
      <c r="A131" s="1"/>
      <c r="B131" s="2"/>
      <c r="C131" s="2"/>
      <c r="D131" s="2"/>
      <c r="E131" s="2"/>
      <c r="F131" s="2"/>
      <c r="G131" s="3"/>
      <c r="H131" s="2"/>
      <c r="I131" s="2"/>
      <c r="J131" s="2"/>
    </row>
    <row r="132" spans="1:10" ht="15" thickBot="1" x14ac:dyDescent="0.35">
      <c r="A132" s="1"/>
      <c r="B132" s="2"/>
      <c r="C132" s="2"/>
      <c r="D132" s="2"/>
      <c r="E132" s="2"/>
      <c r="F132" s="2"/>
      <c r="G132" s="3"/>
      <c r="H132" s="2"/>
      <c r="I132" s="2"/>
      <c r="J132" s="2"/>
    </row>
    <row r="133" spans="1:10" ht="15" thickBot="1" x14ac:dyDescent="0.35">
      <c r="A133" s="1"/>
      <c r="B133" s="2"/>
      <c r="C133" s="2"/>
      <c r="D133" s="2"/>
      <c r="E133" s="2"/>
      <c r="F133" s="2"/>
      <c r="G133" s="3"/>
      <c r="H133" s="2"/>
      <c r="I133" s="2"/>
      <c r="J133" s="2"/>
    </row>
    <row r="134" spans="1:10" ht="15" thickBot="1" x14ac:dyDescent="0.35">
      <c r="A134" s="1"/>
      <c r="B134" s="2"/>
      <c r="C134" s="2"/>
      <c r="D134" s="2"/>
      <c r="E134" s="2"/>
      <c r="F134" s="2"/>
      <c r="G134" s="3"/>
      <c r="H134" s="2"/>
      <c r="I134" s="2"/>
      <c r="J134" s="2"/>
    </row>
    <row r="135" spans="1:10" ht="15" thickBot="1" x14ac:dyDescent="0.35">
      <c r="A135" s="1"/>
      <c r="B135" s="2"/>
      <c r="C135" s="2"/>
      <c r="D135" s="2"/>
      <c r="E135" s="2"/>
      <c r="F135" s="2"/>
      <c r="G135" s="3"/>
      <c r="H135" s="2"/>
      <c r="I135" s="2"/>
      <c r="J135" s="2"/>
    </row>
    <row r="136" spans="1:10" ht="15" thickBot="1" x14ac:dyDescent="0.35">
      <c r="A136" s="1"/>
      <c r="B136" s="2"/>
      <c r="C136" s="2"/>
      <c r="D136" s="2"/>
      <c r="E136" s="2"/>
      <c r="F136" s="2"/>
      <c r="G136" s="3"/>
      <c r="H136" s="2"/>
      <c r="I136" s="2"/>
      <c r="J136" s="2"/>
    </row>
    <row r="137" spans="1:10" ht="15" thickBot="1" x14ac:dyDescent="0.35">
      <c r="A137" s="1"/>
      <c r="B137" s="2"/>
      <c r="C137" s="2"/>
      <c r="D137" s="2"/>
      <c r="E137" s="2"/>
      <c r="F137" s="2"/>
      <c r="G137" s="3"/>
      <c r="H137" s="2"/>
      <c r="I137" s="2"/>
      <c r="J137" s="2"/>
    </row>
    <row r="138" spans="1:10" ht="15" thickBot="1" x14ac:dyDescent="0.35">
      <c r="A138" s="1"/>
      <c r="B138" s="2"/>
      <c r="C138" s="2"/>
      <c r="D138" s="2"/>
      <c r="E138" s="2"/>
      <c r="F138" s="2"/>
      <c r="G138" s="3"/>
      <c r="H138" s="2"/>
      <c r="I138" s="2"/>
      <c r="J138" s="2"/>
    </row>
    <row r="139" spans="1:10" ht="15" thickBot="1" x14ac:dyDescent="0.35">
      <c r="A139" s="1"/>
      <c r="B139" s="2"/>
      <c r="C139" s="2"/>
      <c r="D139" s="2"/>
      <c r="E139" s="2"/>
      <c r="F139" s="2"/>
      <c r="G139" s="3"/>
      <c r="H139" s="2"/>
      <c r="I139" s="2"/>
      <c r="J139" s="2"/>
    </row>
    <row r="140" spans="1:10" ht="15" thickBot="1" x14ac:dyDescent="0.35">
      <c r="A140" s="1"/>
      <c r="B140" s="2"/>
      <c r="C140" s="2"/>
      <c r="D140" s="2"/>
      <c r="E140" s="2"/>
      <c r="F140" s="2"/>
      <c r="G140" s="3"/>
      <c r="H140" s="2"/>
      <c r="I140" s="2"/>
      <c r="J140" s="2"/>
    </row>
    <row r="141" spans="1:10" ht="15" thickBot="1" x14ac:dyDescent="0.35">
      <c r="A141" s="1"/>
      <c r="B141" s="2"/>
      <c r="C141" s="2"/>
      <c r="D141" s="2"/>
      <c r="E141" s="2"/>
      <c r="F141" s="2"/>
      <c r="G141" s="3"/>
      <c r="H141" s="2"/>
      <c r="I141" s="2"/>
      <c r="J141" s="2"/>
    </row>
    <row r="142" spans="1:10" ht="15" thickBot="1" x14ac:dyDescent="0.35">
      <c r="A142" s="1"/>
      <c r="B142" s="2"/>
      <c r="C142" s="2"/>
      <c r="D142" s="2"/>
      <c r="E142" s="2"/>
      <c r="F142" s="2"/>
      <c r="G142" s="3"/>
      <c r="H142" s="2"/>
      <c r="I142" s="2"/>
      <c r="J142" s="2"/>
    </row>
    <row r="143" spans="1:10" ht="15" thickBot="1" x14ac:dyDescent="0.35">
      <c r="A143" s="1"/>
      <c r="B143" s="2"/>
      <c r="C143" s="2"/>
      <c r="D143" s="2"/>
      <c r="E143" s="2"/>
      <c r="F143" s="2"/>
      <c r="G143" s="3"/>
      <c r="H143" s="2"/>
      <c r="I143" s="2"/>
      <c r="J143" s="2"/>
    </row>
    <row r="144" spans="1:10" ht="15" thickBot="1" x14ac:dyDescent="0.35">
      <c r="A144" s="1"/>
      <c r="B144" s="2"/>
      <c r="C144" s="2"/>
      <c r="D144" s="2"/>
      <c r="E144" s="2"/>
      <c r="F144" s="2"/>
      <c r="G144" s="3"/>
      <c r="H144" s="2"/>
      <c r="I144" s="2"/>
      <c r="J144" s="2"/>
    </row>
    <row r="145" spans="1:10" ht="15" thickBot="1" x14ac:dyDescent="0.35">
      <c r="A145" s="1"/>
      <c r="B145" s="2"/>
      <c r="C145" s="2"/>
      <c r="D145" s="2"/>
      <c r="E145" s="2"/>
      <c r="F145" s="2"/>
      <c r="G145" s="3"/>
      <c r="H145" s="2"/>
      <c r="I145" s="2"/>
      <c r="J145" s="2"/>
    </row>
    <row r="146" spans="1:10" ht="15" thickBot="1" x14ac:dyDescent="0.35">
      <c r="A146" s="1"/>
      <c r="B146" s="2"/>
      <c r="C146" s="2"/>
      <c r="D146" s="2"/>
      <c r="E146" s="2"/>
      <c r="F146" s="2"/>
      <c r="G146" s="3"/>
      <c r="H146" s="2"/>
      <c r="I146" s="2"/>
      <c r="J146" s="2"/>
    </row>
    <row r="147" spans="1:10" ht="15" thickBot="1" x14ac:dyDescent="0.35">
      <c r="A147" s="1"/>
      <c r="B147" s="2"/>
      <c r="C147" s="2"/>
      <c r="D147" s="2"/>
      <c r="E147" s="2"/>
      <c r="F147" s="2"/>
      <c r="G147" s="3"/>
      <c r="H147" s="2"/>
      <c r="I147" s="2"/>
      <c r="J147" s="2"/>
    </row>
    <row r="148" spans="1:10" ht="15" thickBot="1" x14ac:dyDescent="0.35">
      <c r="A148" s="1"/>
      <c r="B148" s="2"/>
      <c r="C148" s="2"/>
      <c r="D148" s="2"/>
      <c r="E148" s="2"/>
      <c r="F148" s="2"/>
      <c r="G148" s="3"/>
      <c r="H148" s="2"/>
      <c r="I148" s="2"/>
      <c r="J148" s="2"/>
    </row>
    <row r="149" spans="1:10" ht="15" thickBot="1" x14ac:dyDescent="0.35">
      <c r="A149" s="1"/>
      <c r="B149" s="2"/>
      <c r="C149" s="2"/>
      <c r="D149" s="2"/>
      <c r="E149" s="2"/>
      <c r="F149" s="2"/>
      <c r="G149" s="3"/>
      <c r="H149" s="2"/>
      <c r="I149" s="2"/>
      <c r="J149" s="2"/>
    </row>
    <row r="150" spans="1:10" ht="15" thickBot="1" x14ac:dyDescent="0.35">
      <c r="A150" s="1"/>
      <c r="B150" s="2"/>
      <c r="C150" s="2"/>
      <c r="D150" s="2"/>
      <c r="E150" s="2"/>
      <c r="F150" s="2"/>
      <c r="G150" s="3"/>
      <c r="H150" s="2"/>
      <c r="I150" s="2"/>
      <c r="J150" s="2"/>
    </row>
    <row r="151" spans="1:10" ht="15" thickBot="1" x14ac:dyDescent="0.35">
      <c r="A151" s="1"/>
      <c r="B151" s="2"/>
      <c r="C151" s="2"/>
      <c r="D151" s="2"/>
      <c r="E151" s="2"/>
      <c r="F151" s="2"/>
      <c r="G151" s="3"/>
      <c r="H151" s="2"/>
      <c r="I151" s="2"/>
      <c r="J151" s="2"/>
    </row>
    <row r="152" spans="1:10" ht="15" thickBot="1" x14ac:dyDescent="0.35">
      <c r="A152" s="1"/>
      <c r="B152" s="2"/>
      <c r="C152" s="2"/>
      <c r="D152" s="2"/>
      <c r="E152" s="2"/>
      <c r="F152" s="2"/>
      <c r="G152" s="3"/>
      <c r="H152" s="2"/>
      <c r="I152" s="2"/>
      <c r="J152" s="2"/>
    </row>
    <row r="153" spans="1:10" ht="15" thickBot="1" x14ac:dyDescent="0.35">
      <c r="A153" s="1"/>
      <c r="B153" s="2"/>
      <c r="C153" s="2"/>
      <c r="D153" s="2"/>
      <c r="E153" s="2"/>
      <c r="F153" s="2"/>
      <c r="G153" s="3"/>
      <c r="H153" s="2"/>
      <c r="I153" s="2"/>
      <c r="J153" s="2"/>
    </row>
    <row r="154" spans="1:10" ht="15" thickBot="1" x14ac:dyDescent="0.35">
      <c r="A154" s="1"/>
      <c r="B154" s="2"/>
      <c r="C154" s="2"/>
      <c r="D154" s="2"/>
      <c r="E154" s="2"/>
      <c r="F154" s="2"/>
      <c r="G154" s="3"/>
      <c r="H154" s="2"/>
      <c r="I154" s="2"/>
      <c r="J154" s="2"/>
    </row>
    <row r="155" spans="1:10" ht="15" thickBot="1" x14ac:dyDescent="0.35">
      <c r="A155" s="1"/>
      <c r="B155" s="2"/>
      <c r="C155" s="2"/>
      <c r="D155" s="2"/>
      <c r="E155" s="2"/>
      <c r="F155" s="2"/>
      <c r="G155" s="3"/>
      <c r="H155" s="2"/>
      <c r="I155" s="2"/>
      <c r="J155" s="2"/>
    </row>
    <row r="156" spans="1:10" ht="15" thickBot="1" x14ac:dyDescent="0.35">
      <c r="A156" s="1"/>
      <c r="B156" s="2"/>
      <c r="C156" s="2"/>
      <c r="D156" s="2"/>
      <c r="E156" s="2"/>
      <c r="F156" s="2"/>
      <c r="G156" s="3"/>
      <c r="H156" s="2"/>
      <c r="I156" s="2"/>
      <c r="J156" s="2"/>
    </row>
    <row r="157" spans="1:10" ht="15" thickBot="1" x14ac:dyDescent="0.35">
      <c r="A157" s="1"/>
      <c r="B157" s="2"/>
      <c r="C157" s="2"/>
      <c r="D157" s="2"/>
      <c r="E157" s="2"/>
      <c r="F157" s="2"/>
      <c r="G157" s="3"/>
      <c r="H157" s="2"/>
      <c r="I157" s="2"/>
      <c r="J157" s="2"/>
    </row>
    <row r="158" spans="1:10" ht="15" thickBot="1" x14ac:dyDescent="0.35">
      <c r="A158" s="1"/>
      <c r="B158" s="2"/>
      <c r="C158" s="2"/>
      <c r="D158" s="2"/>
      <c r="E158" s="2"/>
      <c r="F158" s="2"/>
      <c r="G158" s="3"/>
      <c r="H158" s="2"/>
      <c r="I158" s="2"/>
      <c r="J158" s="2"/>
    </row>
    <row r="159" spans="1:10" ht="15" thickBot="1" x14ac:dyDescent="0.35">
      <c r="A159" s="1"/>
      <c r="B159" s="2"/>
      <c r="C159" s="2"/>
      <c r="D159" s="2"/>
      <c r="E159" s="2"/>
      <c r="F159" s="2"/>
      <c r="G159" s="3"/>
      <c r="H159" s="2"/>
      <c r="I159" s="2"/>
      <c r="J159" s="2"/>
    </row>
    <row r="160" spans="1:10" ht="15" thickBot="1" x14ac:dyDescent="0.35">
      <c r="A160" s="1"/>
      <c r="B160" s="2"/>
      <c r="C160" s="2"/>
      <c r="D160" s="2"/>
      <c r="E160" s="2"/>
      <c r="F160" s="2"/>
      <c r="G160" s="3"/>
      <c r="H160" s="2"/>
      <c r="I160" s="2"/>
      <c r="J160" s="2"/>
    </row>
    <row r="161" spans="1:10" ht="15" thickBot="1" x14ac:dyDescent="0.35">
      <c r="A161" s="1"/>
      <c r="B161" s="2"/>
      <c r="C161" s="2"/>
      <c r="D161" s="2"/>
      <c r="E161" s="2"/>
      <c r="F161" s="2"/>
      <c r="G161" s="3"/>
      <c r="H161" s="2"/>
      <c r="I161" s="2"/>
      <c r="J161" s="2"/>
    </row>
    <row r="162" spans="1:10" ht="15" thickBot="1" x14ac:dyDescent="0.35">
      <c r="A162" s="1"/>
      <c r="B162" s="2"/>
      <c r="C162" s="2"/>
      <c r="D162" s="2"/>
      <c r="E162" s="2"/>
      <c r="F162" s="2"/>
      <c r="G162" s="3"/>
      <c r="H162" s="2"/>
      <c r="I162" s="2"/>
      <c r="J162" s="2"/>
    </row>
    <row r="163" spans="1:10" ht="15" thickBot="1" x14ac:dyDescent="0.35">
      <c r="A163" s="1"/>
      <c r="B163" s="2"/>
      <c r="C163" s="2"/>
      <c r="D163" s="2"/>
      <c r="E163" s="2"/>
      <c r="F163" s="2"/>
      <c r="G163" s="3"/>
      <c r="H163" s="2"/>
      <c r="I163" s="2"/>
      <c r="J163" s="2"/>
    </row>
    <row r="164" spans="1:10" ht="15" thickBot="1" x14ac:dyDescent="0.35">
      <c r="A164" s="1"/>
      <c r="B164" s="2"/>
      <c r="C164" s="2"/>
      <c r="D164" s="2"/>
      <c r="E164" s="2"/>
      <c r="F164" s="2"/>
      <c r="G164" s="3"/>
      <c r="H164" s="2"/>
      <c r="I164" s="2"/>
      <c r="J164" s="2"/>
    </row>
    <row r="165" spans="1:10" ht="15" thickBot="1" x14ac:dyDescent="0.35">
      <c r="A165" s="1"/>
      <c r="B165" s="2"/>
      <c r="C165" s="2"/>
      <c r="D165" s="2"/>
      <c r="E165" s="2"/>
      <c r="F165" s="2"/>
      <c r="G165" s="3"/>
      <c r="H165" s="2"/>
      <c r="I165" s="2"/>
      <c r="J165" s="2"/>
    </row>
    <row r="166" spans="1:10" ht="15" thickBot="1" x14ac:dyDescent="0.35">
      <c r="A166" s="1"/>
      <c r="B166" s="2"/>
      <c r="C166" s="2"/>
      <c r="D166" s="2"/>
      <c r="E166" s="2"/>
      <c r="F166" s="2"/>
      <c r="G166" s="3"/>
      <c r="H166" s="2"/>
      <c r="I166" s="2"/>
      <c r="J166" s="2"/>
    </row>
    <row r="167" spans="1:10" ht="15" thickBot="1" x14ac:dyDescent="0.35">
      <c r="A167" s="1"/>
      <c r="B167" s="2"/>
      <c r="C167" s="2"/>
      <c r="D167" s="2"/>
      <c r="E167" s="2"/>
      <c r="F167" s="2"/>
      <c r="G167" s="3"/>
      <c r="H167" s="2"/>
      <c r="I167" s="2"/>
      <c r="J167" s="2"/>
    </row>
    <row r="168" spans="1:10" ht="15" thickBot="1" x14ac:dyDescent="0.35">
      <c r="A168" s="1"/>
      <c r="B168" s="2"/>
      <c r="C168" s="2"/>
      <c r="D168" s="2"/>
      <c r="E168" s="2"/>
      <c r="F168" s="2"/>
      <c r="G168" s="3"/>
      <c r="H168" s="2"/>
      <c r="I168" s="2"/>
      <c r="J168" s="2"/>
    </row>
    <row r="169" spans="1:10" ht="15" thickBot="1" x14ac:dyDescent="0.35">
      <c r="A169" s="1"/>
      <c r="B169" s="2"/>
      <c r="C169" s="2"/>
      <c r="D169" s="2"/>
      <c r="E169" s="2"/>
      <c r="F169" s="2"/>
      <c r="G169" s="3"/>
      <c r="H169" s="2"/>
      <c r="I169" s="2"/>
      <c r="J169" s="2"/>
    </row>
    <row r="170" spans="1:10" ht="15" thickBot="1" x14ac:dyDescent="0.35">
      <c r="A170" s="1"/>
      <c r="B170" s="2"/>
      <c r="C170" s="2"/>
      <c r="D170" s="2"/>
      <c r="E170" s="2"/>
      <c r="F170" s="2"/>
      <c r="G170" s="3"/>
      <c r="H170" s="2"/>
      <c r="I170" s="2"/>
      <c r="J170" s="2"/>
    </row>
    <row r="171" spans="1:10" ht="15" thickBot="1" x14ac:dyDescent="0.35">
      <c r="A171" s="1"/>
      <c r="B171" s="2"/>
      <c r="C171" s="2"/>
      <c r="D171" s="2"/>
      <c r="E171" s="2"/>
      <c r="F171" s="2"/>
      <c r="G171" s="3"/>
      <c r="H171" s="2"/>
      <c r="I171" s="2"/>
      <c r="J171" s="2"/>
    </row>
    <row r="172" spans="1:10" ht="15" thickBot="1" x14ac:dyDescent="0.35">
      <c r="A172" s="1"/>
      <c r="B172" s="2"/>
      <c r="C172" s="2"/>
      <c r="D172" s="2"/>
      <c r="E172" s="2"/>
      <c r="F172" s="2"/>
      <c r="G172" s="3"/>
      <c r="H172" s="2"/>
      <c r="I172" s="2"/>
      <c r="J172" s="2"/>
    </row>
    <row r="173" spans="1:10" ht="15" thickBot="1" x14ac:dyDescent="0.35">
      <c r="A173" s="1"/>
      <c r="B173" s="2"/>
      <c r="C173" s="2"/>
      <c r="D173" s="2"/>
      <c r="E173" s="2"/>
      <c r="F173" s="2"/>
      <c r="G173" s="3"/>
      <c r="H173" s="2"/>
      <c r="I173" s="2"/>
      <c r="J173" s="2"/>
    </row>
    <row r="174" spans="1:10" ht="15" thickBot="1" x14ac:dyDescent="0.35">
      <c r="A174" s="1"/>
      <c r="B174" s="2"/>
      <c r="C174" s="2"/>
      <c r="D174" s="2"/>
      <c r="E174" s="2"/>
      <c r="F174" s="2"/>
      <c r="G174" s="3"/>
      <c r="H174" s="2"/>
      <c r="I174" s="2"/>
      <c r="J174" s="2"/>
    </row>
    <row r="175" spans="1:10" ht="15" thickBot="1" x14ac:dyDescent="0.35">
      <c r="A175" s="1"/>
      <c r="B175" s="2"/>
      <c r="C175" s="2"/>
      <c r="D175" s="2"/>
      <c r="E175" s="2"/>
      <c r="F175" s="2"/>
      <c r="G175" s="3"/>
      <c r="H175" s="2"/>
      <c r="I175" s="2"/>
      <c r="J175" s="2"/>
    </row>
    <row r="176" spans="1:10" ht="15" thickBot="1" x14ac:dyDescent="0.35">
      <c r="A176" s="1"/>
      <c r="B176" s="2"/>
      <c r="C176" s="2"/>
      <c r="D176" s="2"/>
      <c r="E176" s="2"/>
      <c r="F176" s="2"/>
      <c r="G176" s="3"/>
      <c r="H176" s="2"/>
      <c r="I176" s="2"/>
      <c r="J176" s="2"/>
    </row>
    <row r="177" spans="1:10" ht="15" thickBot="1" x14ac:dyDescent="0.35">
      <c r="A177" s="1"/>
      <c r="B177" s="2"/>
      <c r="C177" s="2"/>
      <c r="D177" s="2"/>
      <c r="E177" s="2"/>
      <c r="F177" s="2"/>
      <c r="G177" s="3"/>
      <c r="H177" s="2"/>
      <c r="I177" s="2"/>
      <c r="J177" s="2"/>
    </row>
    <row r="178" spans="1:10" ht="15" thickBot="1" x14ac:dyDescent="0.35">
      <c r="A178" s="1"/>
      <c r="B178" s="2"/>
      <c r="C178" s="2"/>
      <c r="D178" s="2"/>
      <c r="E178" s="2"/>
      <c r="F178" s="2"/>
      <c r="G178" s="3"/>
      <c r="H178" s="2"/>
      <c r="I178" s="2"/>
      <c r="J178" s="2"/>
    </row>
    <row r="179" spans="1:10" ht="15" thickBot="1" x14ac:dyDescent="0.35">
      <c r="A179" s="1"/>
      <c r="B179" s="2"/>
      <c r="C179" s="2"/>
      <c r="D179" s="2"/>
      <c r="E179" s="2"/>
      <c r="F179" s="2"/>
      <c r="G179" s="3"/>
      <c r="H179" s="2"/>
      <c r="I179" s="2"/>
      <c r="J179" s="2"/>
    </row>
    <row r="180" spans="1:10" ht="15" thickBot="1" x14ac:dyDescent="0.35">
      <c r="A180" s="1"/>
      <c r="B180" s="2"/>
      <c r="C180" s="2"/>
      <c r="D180" s="2"/>
      <c r="E180" s="2"/>
      <c r="F180" s="2"/>
      <c r="G180" s="3"/>
      <c r="H180" s="2"/>
      <c r="I180" s="2"/>
      <c r="J180" s="2"/>
    </row>
    <row r="181" spans="1:10" ht="15" thickBot="1" x14ac:dyDescent="0.35">
      <c r="A181" s="1"/>
      <c r="B181" s="2"/>
      <c r="C181" s="2"/>
      <c r="D181" s="2"/>
      <c r="E181" s="2"/>
      <c r="F181" s="2"/>
      <c r="G181" s="3"/>
      <c r="H181" s="2"/>
      <c r="I181" s="2"/>
      <c r="J181" s="2"/>
    </row>
    <row r="182" spans="1:10" ht="15" thickBot="1" x14ac:dyDescent="0.35">
      <c r="A182" s="1"/>
      <c r="B182" s="2"/>
      <c r="C182" s="2"/>
      <c r="D182" s="2"/>
      <c r="E182" s="2"/>
      <c r="F182" s="2"/>
      <c r="G182" s="3"/>
      <c r="H182" s="2"/>
      <c r="I182" s="2"/>
      <c r="J182" s="2"/>
    </row>
    <row r="183" spans="1:10" ht="15" thickBot="1" x14ac:dyDescent="0.35">
      <c r="A183" s="1"/>
      <c r="B183" s="2"/>
      <c r="C183" s="2"/>
      <c r="D183" s="2"/>
      <c r="E183" s="2"/>
      <c r="F183" s="2"/>
      <c r="G183" s="3"/>
      <c r="H183" s="2"/>
      <c r="I183" s="2"/>
      <c r="J183" s="2"/>
    </row>
    <row r="184" spans="1:10" ht="15" thickBot="1" x14ac:dyDescent="0.35">
      <c r="A184" s="1"/>
      <c r="B184" s="2"/>
      <c r="C184" s="2"/>
      <c r="D184" s="2"/>
      <c r="E184" s="2"/>
      <c r="F184" s="2"/>
      <c r="G184" s="3"/>
      <c r="H184" s="2"/>
      <c r="I184" s="2"/>
      <c r="J184" s="2"/>
    </row>
    <row r="185" spans="1:10" ht="15" thickBot="1" x14ac:dyDescent="0.35">
      <c r="A185" s="1"/>
      <c r="B185" s="2"/>
      <c r="C185" s="2"/>
      <c r="D185" s="2"/>
      <c r="E185" s="2"/>
      <c r="F185" s="2"/>
      <c r="G185" s="3"/>
      <c r="H185" s="2"/>
      <c r="I185" s="2"/>
      <c r="J185" s="2"/>
    </row>
    <row r="186" spans="1:10" ht="15" thickBot="1" x14ac:dyDescent="0.35">
      <c r="A186" s="1"/>
      <c r="B186" s="2"/>
      <c r="C186" s="2"/>
      <c r="D186" s="2"/>
      <c r="E186" s="2"/>
      <c r="F186" s="2"/>
      <c r="G186" s="3"/>
      <c r="H186" s="2"/>
      <c r="I186" s="2"/>
      <c r="J186" s="2"/>
    </row>
    <row r="187" spans="1:10" ht="15" thickBot="1" x14ac:dyDescent="0.35">
      <c r="A187" s="1"/>
      <c r="B187" s="2"/>
      <c r="C187" s="2"/>
      <c r="D187" s="2"/>
      <c r="E187" s="2"/>
      <c r="F187" s="2"/>
      <c r="G187" s="3"/>
      <c r="H187" s="2"/>
      <c r="I187" s="2"/>
      <c r="J187" s="2"/>
    </row>
    <row r="188" spans="1:10" ht="15" thickBot="1" x14ac:dyDescent="0.35">
      <c r="A188" s="1"/>
      <c r="B188" s="2"/>
      <c r="C188" s="2"/>
      <c r="D188" s="2"/>
      <c r="E188" s="2"/>
      <c r="F188" s="2"/>
      <c r="G188" s="3"/>
      <c r="H188" s="2"/>
      <c r="I188" s="2"/>
      <c r="J188" s="2"/>
    </row>
    <row r="189" spans="1:10" ht="15" thickBot="1" x14ac:dyDescent="0.35">
      <c r="A189" s="1"/>
      <c r="B189" s="2"/>
      <c r="C189" s="2"/>
      <c r="D189" s="2"/>
      <c r="E189" s="2"/>
      <c r="F189" s="2"/>
      <c r="G189" s="3"/>
      <c r="H189" s="2"/>
      <c r="I189" s="2"/>
      <c r="J189" s="2"/>
    </row>
    <row r="190" spans="1:10" ht="15" thickBot="1" x14ac:dyDescent="0.35">
      <c r="A190" s="1"/>
      <c r="B190" s="2"/>
      <c r="C190" s="2"/>
      <c r="D190" s="2"/>
      <c r="E190" s="2"/>
      <c r="F190" s="2"/>
      <c r="G190" s="3"/>
      <c r="H190" s="2"/>
      <c r="I190" s="2"/>
      <c r="J190" s="2"/>
    </row>
    <row r="191" spans="1:10" ht="15" thickBot="1" x14ac:dyDescent="0.35">
      <c r="A191" s="1"/>
      <c r="B191" s="2"/>
      <c r="C191" s="2"/>
      <c r="D191" s="2"/>
      <c r="E191" s="2"/>
      <c r="F191" s="2"/>
      <c r="G191" s="3"/>
      <c r="H191" s="2"/>
      <c r="I191" s="2"/>
      <c r="J191" s="2"/>
    </row>
    <row r="192" spans="1:10" ht="15" thickBot="1" x14ac:dyDescent="0.35">
      <c r="A192" s="1"/>
      <c r="B192" s="2"/>
      <c r="C192" s="2"/>
      <c r="D192" s="2"/>
      <c r="E192" s="2"/>
      <c r="F192" s="2"/>
      <c r="G192" s="3"/>
      <c r="H192" s="2"/>
      <c r="I192" s="2"/>
      <c r="J192" s="2"/>
    </row>
    <row r="193" spans="1:10" ht="15" thickBot="1" x14ac:dyDescent="0.35">
      <c r="A193" s="1"/>
      <c r="B193" s="2"/>
      <c r="C193" s="2"/>
      <c r="D193" s="2"/>
      <c r="E193" s="2"/>
      <c r="F193" s="2"/>
      <c r="G193" s="3"/>
      <c r="H193" s="2"/>
      <c r="I193" s="2"/>
      <c r="J193" s="2"/>
    </row>
    <row r="194" spans="1:10" ht="15" thickBot="1" x14ac:dyDescent="0.35">
      <c r="A194" s="1"/>
      <c r="B194" s="2"/>
      <c r="C194" s="2"/>
      <c r="D194" s="2"/>
      <c r="E194" s="2"/>
      <c r="F194" s="2"/>
      <c r="G194" s="3"/>
      <c r="H194" s="2"/>
      <c r="I194" s="2"/>
      <c r="J194" s="2"/>
    </row>
    <row r="195" spans="1:10" ht="15" thickBot="1" x14ac:dyDescent="0.35">
      <c r="A195" s="1"/>
      <c r="B195" s="2"/>
      <c r="C195" s="2"/>
      <c r="D195" s="2"/>
      <c r="E195" s="2"/>
      <c r="F195" s="2"/>
      <c r="G195" s="3"/>
      <c r="H195" s="2"/>
      <c r="I195" s="2"/>
      <c r="J195" s="2"/>
    </row>
    <row r="196" spans="1:10" ht="15" thickBot="1" x14ac:dyDescent="0.35">
      <c r="A196" s="1"/>
      <c r="B196" s="2"/>
      <c r="C196" s="2"/>
      <c r="D196" s="2"/>
      <c r="E196" s="2"/>
      <c r="F196" s="2"/>
      <c r="G196" s="3"/>
      <c r="H196" s="2"/>
      <c r="I196" s="2"/>
      <c r="J196" s="2"/>
    </row>
    <row r="197" spans="1:10" ht="15" thickBot="1" x14ac:dyDescent="0.35">
      <c r="A197" s="1"/>
      <c r="B197" s="2"/>
      <c r="C197" s="2"/>
      <c r="D197" s="2"/>
      <c r="E197" s="2"/>
      <c r="F197" s="2"/>
      <c r="G197" s="3"/>
      <c r="H197" s="2"/>
      <c r="I197" s="2"/>
      <c r="J197" s="2"/>
    </row>
    <row r="198" spans="1:10" ht="15" thickBot="1" x14ac:dyDescent="0.35">
      <c r="A198" s="1"/>
      <c r="B198" s="2"/>
      <c r="C198" s="2"/>
      <c r="D198" s="2"/>
      <c r="E198" s="2"/>
      <c r="F198" s="2"/>
      <c r="G198" s="3"/>
      <c r="H198" s="2"/>
      <c r="I198" s="2"/>
      <c r="J198" s="2"/>
    </row>
    <row r="199" spans="1:10" ht="15" thickBot="1" x14ac:dyDescent="0.35">
      <c r="A199" s="1"/>
      <c r="B199" s="2"/>
      <c r="C199" s="2"/>
      <c r="D199" s="2"/>
      <c r="E199" s="2"/>
      <c r="F199" s="2"/>
      <c r="G199" s="3"/>
      <c r="H199" s="2"/>
      <c r="I199" s="2"/>
      <c r="J199" s="2"/>
    </row>
    <row r="200" spans="1:10" ht="15" thickBot="1" x14ac:dyDescent="0.35">
      <c r="A200" s="1"/>
      <c r="B200" s="2"/>
      <c r="C200" s="2"/>
      <c r="D200" s="2"/>
      <c r="E200" s="2"/>
      <c r="F200" s="2"/>
      <c r="G200" s="3"/>
      <c r="H200" s="2"/>
      <c r="I200" s="2"/>
      <c r="J200" s="2"/>
    </row>
    <row r="201" spans="1:10" ht="15" thickBot="1" x14ac:dyDescent="0.35">
      <c r="A201" s="1"/>
      <c r="B201" s="2"/>
      <c r="C201" s="2"/>
      <c r="D201" s="2"/>
      <c r="E201" s="2"/>
      <c r="F201" s="2"/>
      <c r="G201" s="3"/>
      <c r="H201" s="2"/>
      <c r="I201" s="2"/>
      <c r="J201" s="2"/>
    </row>
    <row r="202" spans="1:10" ht="15" thickBot="1" x14ac:dyDescent="0.35">
      <c r="A202" s="1"/>
      <c r="B202" s="2"/>
      <c r="C202" s="2"/>
      <c r="D202" s="2"/>
      <c r="E202" s="2"/>
      <c r="F202" s="2"/>
      <c r="G202" s="3"/>
      <c r="H202" s="2"/>
      <c r="I202" s="2"/>
      <c r="J202" s="2"/>
    </row>
    <row r="203" spans="1:10" ht="15" thickBot="1" x14ac:dyDescent="0.35">
      <c r="A203" s="1"/>
      <c r="B203" s="2"/>
      <c r="C203" s="2"/>
      <c r="D203" s="2"/>
      <c r="E203" s="2"/>
      <c r="F203" s="2"/>
      <c r="G203" s="3"/>
      <c r="H203" s="2"/>
      <c r="I203" s="2"/>
      <c r="J203" s="2"/>
    </row>
    <row r="204" spans="1:10" ht="15" thickBot="1" x14ac:dyDescent="0.35">
      <c r="A204" s="1"/>
      <c r="B204" s="2"/>
      <c r="C204" s="2"/>
      <c r="D204" s="2"/>
      <c r="E204" s="2"/>
      <c r="F204" s="2"/>
      <c r="G204" s="3"/>
      <c r="H204" s="2"/>
      <c r="I204" s="2"/>
      <c r="J204" s="2"/>
    </row>
    <row r="205" spans="1:10" ht="15" thickBot="1" x14ac:dyDescent="0.35">
      <c r="A205" s="1"/>
      <c r="B205" s="2"/>
      <c r="C205" s="2"/>
      <c r="D205" s="2"/>
      <c r="E205" s="2"/>
      <c r="F205" s="2"/>
      <c r="G205" s="3"/>
      <c r="H205" s="2"/>
      <c r="I205" s="2"/>
      <c r="J205" s="2"/>
    </row>
    <row r="206" spans="1:10" ht="15" thickBot="1" x14ac:dyDescent="0.35">
      <c r="A206" s="1"/>
      <c r="B206" s="2"/>
      <c r="C206" s="2"/>
      <c r="D206" s="2"/>
      <c r="E206" s="2"/>
      <c r="F206" s="2"/>
      <c r="G206" s="3"/>
      <c r="H206" s="2"/>
      <c r="I206" s="2"/>
      <c r="J206" s="2"/>
    </row>
    <row r="207" spans="1:10" ht="15" thickBot="1" x14ac:dyDescent="0.35">
      <c r="A207" s="1"/>
      <c r="B207" s="2"/>
      <c r="C207" s="2"/>
      <c r="D207" s="2"/>
      <c r="E207" s="2"/>
      <c r="F207" s="2"/>
      <c r="G207" s="3"/>
      <c r="H207" s="2"/>
      <c r="I207" s="2"/>
      <c r="J207" s="2"/>
    </row>
    <row r="208" spans="1:10" ht="15" thickBot="1" x14ac:dyDescent="0.35">
      <c r="A208" s="1"/>
      <c r="B208" s="2"/>
      <c r="C208" s="2"/>
      <c r="D208" s="2"/>
      <c r="E208" s="2"/>
      <c r="F208" s="2"/>
      <c r="G208" s="3"/>
      <c r="H208" s="2"/>
      <c r="I208" s="2"/>
      <c r="J208" s="2"/>
    </row>
    <row r="209" spans="1:10" ht="15" thickBot="1" x14ac:dyDescent="0.35">
      <c r="A209" s="1"/>
      <c r="B209" s="2"/>
      <c r="C209" s="2"/>
      <c r="D209" s="2"/>
      <c r="E209" s="2"/>
      <c r="F209" s="2"/>
      <c r="G209" s="3"/>
      <c r="H209" s="2"/>
      <c r="I209" s="2"/>
      <c r="J209" s="2"/>
    </row>
    <row r="210" spans="1:10" ht="15" thickBot="1" x14ac:dyDescent="0.35">
      <c r="A210" s="1"/>
      <c r="B210" s="2"/>
      <c r="C210" s="2"/>
      <c r="D210" s="2"/>
      <c r="E210" s="2"/>
      <c r="F210" s="2"/>
      <c r="G210" s="3"/>
      <c r="H210" s="2"/>
      <c r="I210" s="2"/>
      <c r="J210" s="2"/>
    </row>
    <row r="211" spans="1:10" ht="15" thickBot="1" x14ac:dyDescent="0.35">
      <c r="A211" s="1"/>
      <c r="B211" s="2"/>
      <c r="C211" s="2"/>
      <c r="D211" s="2"/>
      <c r="E211" s="2"/>
      <c r="F211" s="2"/>
      <c r="G211" s="3"/>
      <c r="H211" s="2"/>
      <c r="I211" s="2"/>
      <c r="J211" s="2"/>
    </row>
    <row r="212" spans="1:10" ht="15" thickBot="1" x14ac:dyDescent="0.35">
      <c r="A212" s="1"/>
      <c r="B212" s="2"/>
      <c r="C212" s="2"/>
      <c r="D212" s="2"/>
      <c r="E212" s="2"/>
      <c r="F212" s="2"/>
      <c r="G212" s="3"/>
      <c r="H212" s="2"/>
      <c r="I212" s="2"/>
      <c r="J212" s="2"/>
    </row>
    <row r="213" spans="1:10" ht="15" thickBot="1" x14ac:dyDescent="0.35">
      <c r="A213" s="1"/>
      <c r="B213" s="2"/>
      <c r="C213" s="2"/>
      <c r="D213" s="2"/>
      <c r="E213" s="2"/>
      <c r="F213" s="2"/>
      <c r="G213" s="3"/>
      <c r="H213" s="2"/>
      <c r="I213" s="2"/>
      <c r="J213" s="2"/>
    </row>
    <row r="214" spans="1:10" ht="15" thickBot="1" x14ac:dyDescent="0.35">
      <c r="A214" s="1"/>
      <c r="B214" s="2"/>
      <c r="C214" s="2"/>
      <c r="D214" s="2"/>
      <c r="E214" s="2"/>
      <c r="F214" s="2"/>
      <c r="G214" s="3"/>
      <c r="H214" s="2"/>
      <c r="I214" s="2"/>
      <c r="J214" s="2"/>
    </row>
    <row r="215" spans="1:10" ht="15" thickBot="1" x14ac:dyDescent="0.35">
      <c r="A215" s="1"/>
      <c r="B215" s="2"/>
      <c r="C215" s="2"/>
      <c r="D215" s="2"/>
      <c r="E215" s="2"/>
      <c r="F215" s="2"/>
      <c r="G215" s="3"/>
      <c r="H215" s="2"/>
      <c r="I215" s="2"/>
      <c r="J215" s="2"/>
    </row>
    <row r="216" spans="1:10" ht="15" thickBot="1" x14ac:dyDescent="0.35">
      <c r="A216" s="1"/>
      <c r="B216" s="2"/>
      <c r="C216" s="2"/>
      <c r="D216" s="2"/>
      <c r="E216" s="2"/>
      <c r="F216" s="2"/>
      <c r="G216" s="3"/>
      <c r="H216" s="2"/>
      <c r="I216" s="2"/>
      <c r="J216" s="2"/>
    </row>
    <row r="217" spans="1:10" ht="15" thickBot="1" x14ac:dyDescent="0.35">
      <c r="A217" s="1"/>
      <c r="B217" s="2"/>
      <c r="C217" s="2"/>
      <c r="D217" s="2"/>
      <c r="E217" s="2"/>
      <c r="F217" s="2"/>
      <c r="G217" s="3"/>
      <c r="H217" s="2"/>
      <c r="I217" s="2"/>
      <c r="J217" s="2"/>
    </row>
    <row r="218" spans="1:10" ht="15" thickBot="1" x14ac:dyDescent="0.35">
      <c r="A218" s="1"/>
      <c r="B218" s="2"/>
      <c r="C218" s="2"/>
      <c r="D218" s="2"/>
      <c r="E218" s="2"/>
      <c r="F218" s="2"/>
      <c r="G218" s="3"/>
      <c r="H218" s="2"/>
      <c r="I218" s="2"/>
      <c r="J218" s="2"/>
    </row>
    <row r="219" spans="1:10" ht="15" thickBot="1" x14ac:dyDescent="0.35">
      <c r="A219" s="1"/>
      <c r="B219" s="2"/>
      <c r="C219" s="2"/>
      <c r="D219" s="2"/>
      <c r="E219" s="2"/>
      <c r="F219" s="2"/>
      <c r="G219" s="3"/>
      <c r="H219" s="2"/>
      <c r="I219" s="2"/>
      <c r="J219" s="2"/>
    </row>
    <row r="220" spans="1:10" ht="15" thickBot="1" x14ac:dyDescent="0.35">
      <c r="A220" s="1"/>
      <c r="B220" s="2"/>
      <c r="C220" s="2"/>
      <c r="D220" s="2"/>
      <c r="E220" s="2"/>
      <c r="F220" s="2"/>
      <c r="G220" s="3"/>
      <c r="H220" s="2"/>
      <c r="I220" s="2"/>
      <c r="J220" s="2"/>
    </row>
    <row r="221" spans="1:10" ht="15" thickBot="1" x14ac:dyDescent="0.35">
      <c r="A221" s="1"/>
      <c r="B221" s="2"/>
      <c r="C221" s="2"/>
      <c r="D221" s="2"/>
      <c r="E221" s="2"/>
      <c r="F221" s="2"/>
      <c r="G221" s="3"/>
      <c r="H221" s="2"/>
      <c r="I221" s="2"/>
      <c r="J221" s="2"/>
    </row>
    <row r="222" spans="1:10" ht="15" thickBot="1" x14ac:dyDescent="0.35">
      <c r="A222" s="1"/>
      <c r="B222" s="2"/>
      <c r="C222" s="2"/>
      <c r="D222" s="2"/>
      <c r="E222" s="2"/>
      <c r="F222" s="2"/>
      <c r="G222" s="3"/>
      <c r="H222" s="2"/>
      <c r="I222" s="2"/>
      <c r="J222" s="2"/>
    </row>
    <row r="223" spans="1:10" ht="15" thickBot="1" x14ac:dyDescent="0.35">
      <c r="A223" s="1"/>
      <c r="B223" s="2"/>
      <c r="C223" s="2"/>
      <c r="D223" s="2"/>
      <c r="E223" s="2"/>
      <c r="F223" s="2"/>
      <c r="G223" s="3"/>
      <c r="H223" s="2"/>
      <c r="I223" s="2"/>
      <c r="J223" s="2"/>
    </row>
    <row r="224" spans="1:10" ht="15" thickBot="1" x14ac:dyDescent="0.35">
      <c r="A224" s="1"/>
      <c r="B224" s="2"/>
      <c r="C224" s="2"/>
      <c r="D224" s="2"/>
      <c r="E224" s="2"/>
      <c r="F224" s="2"/>
      <c r="G224" s="3"/>
      <c r="H224" s="2"/>
      <c r="I224" s="2"/>
      <c r="J224" s="2"/>
    </row>
    <row r="225" spans="1:10" ht="15" thickBot="1" x14ac:dyDescent="0.35">
      <c r="A225" s="1"/>
      <c r="B225" s="2"/>
      <c r="C225" s="2"/>
      <c r="D225" s="2"/>
      <c r="E225" s="2"/>
      <c r="F225" s="2"/>
      <c r="G225" s="3"/>
      <c r="H225" s="2"/>
      <c r="I225" s="2"/>
      <c r="J225" s="2"/>
    </row>
    <row r="226" spans="1:10" ht="15" thickBot="1" x14ac:dyDescent="0.35">
      <c r="A226" s="1"/>
      <c r="B226" s="2"/>
      <c r="C226" s="2"/>
      <c r="D226" s="2"/>
      <c r="E226" s="2"/>
      <c r="F226" s="2"/>
      <c r="G226" s="3"/>
      <c r="H226" s="2"/>
      <c r="I226" s="2"/>
      <c r="J226" s="2"/>
    </row>
    <row r="227" spans="1:10" ht="15" thickBot="1" x14ac:dyDescent="0.35">
      <c r="A227" s="1"/>
      <c r="B227" s="2"/>
      <c r="C227" s="2"/>
      <c r="D227" s="2"/>
      <c r="E227" s="2"/>
      <c r="F227" s="2"/>
      <c r="G227" s="3"/>
      <c r="H227" s="2"/>
      <c r="I227" s="2"/>
      <c r="J227" s="2"/>
    </row>
    <row r="228" spans="1:10" ht="15" thickBot="1" x14ac:dyDescent="0.35">
      <c r="A228" s="1"/>
      <c r="B228" s="2"/>
      <c r="C228" s="2"/>
      <c r="D228" s="2"/>
      <c r="E228" s="2"/>
      <c r="F228" s="2"/>
      <c r="G228" s="3"/>
      <c r="H228" s="2"/>
      <c r="I228" s="2"/>
      <c r="J228" s="2"/>
    </row>
    <row r="229" spans="1:10" ht="15" thickBot="1" x14ac:dyDescent="0.35">
      <c r="A229" s="1"/>
      <c r="B229" s="2"/>
      <c r="C229" s="2"/>
      <c r="D229" s="2"/>
      <c r="E229" s="2"/>
      <c r="F229" s="2"/>
      <c r="G229" s="3"/>
      <c r="H229" s="2"/>
      <c r="I229" s="2"/>
      <c r="J229" s="2"/>
    </row>
    <row r="230" spans="1:10" ht="15" thickBot="1" x14ac:dyDescent="0.35">
      <c r="A230" s="1"/>
      <c r="B230" s="2"/>
      <c r="C230" s="2"/>
      <c r="D230" s="2"/>
      <c r="E230" s="2"/>
      <c r="F230" s="2"/>
      <c r="G230" s="3"/>
      <c r="H230" s="2"/>
      <c r="I230" s="2"/>
      <c r="J230" s="2"/>
    </row>
    <row r="231" spans="1:10" ht="15" thickBot="1" x14ac:dyDescent="0.35">
      <c r="A231" s="1"/>
      <c r="B231" s="2"/>
      <c r="C231" s="2"/>
      <c r="D231" s="2"/>
      <c r="E231" s="2"/>
      <c r="F231" s="2"/>
      <c r="G231" s="3"/>
      <c r="H231" s="2"/>
      <c r="I231" s="2"/>
      <c r="J231" s="2"/>
    </row>
    <row r="232" spans="1:10" ht="15" thickBot="1" x14ac:dyDescent="0.35">
      <c r="A232" s="1"/>
      <c r="B232" s="2"/>
      <c r="C232" s="2"/>
      <c r="D232" s="2"/>
      <c r="E232" s="2"/>
      <c r="F232" s="2"/>
      <c r="G232" s="3"/>
      <c r="H232" s="2"/>
      <c r="I232" s="2"/>
      <c r="J232" s="2"/>
    </row>
    <row r="233" spans="1:10" ht="15" thickBot="1" x14ac:dyDescent="0.35">
      <c r="A233" s="1"/>
      <c r="B233" s="2"/>
      <c r="C233" s="2"/>
      <c r="D233" s="2"/>
      <c r="E233" s="2"/>
      <c r="F233" s="2"/>
      <c r="G233" s="3"/>
      <c r="H233" s="2"/>
      <c r="I233" s="2"/>
      <c r="J233" s="2"/>
    </row>
    <row r="234" spans="1:10" ht="15" thickBot="1" x14ac:dyDescent="0.35">
      <c r="A234" s="1"/>
      <c r="B234" s="2"/>
      <c r="C234" s="2"/>
      <c r="D234" s="2"/>
      <c r="E234" s="2"/>
      <c r="F234" s="2"/>
      <c r="G234" s="3"/>
      <c r="H234" s="2"/>
      <c r="I234" s="2"/>
      <c r="J234" s="2"/>
    </row>
    <row r="235" spans="1:10" ht="15" thickBot="1" x14ac:dyDescent="0.35">
      <c r="A235" s="1"/>
      <c r="B235" s="2"/>
      <c r="C235" s="2"/>
      <c r="D235" s="2"/>
      <c r="E235" s="2"/>
      <c r="F235" s="2"/>
      <c r="G235" s="3"/>
      <c r="H235" s="2"/>
      <c r="I235" s="2"/>
      <c r="J235" s="2"/>
    </row>
    <row r="236" spans="1:10" ht="15" thickBot="1" x14ac:dyDescent="0.35">
      <c r="A236" s="1"/>
      <c r="B236" s="2"/>
      <c r="C236" s="2"/>
      <c r="D236" s="2"/>
      <c r="E236" s="2"/>
      <c r="F236" s="2"/>
      <c r="G236" s="3"/>
      <c r="H236" s="2"/>
      <c r="I236" s="2"/>
      <c r="J236" s="2"/>
    </row>
    <row r="237" spans="1:10" ht="15" thickBot="1" x14ac:dyDescent="0.35">
      <c r="A237" s="1"/>
      <c r="B237" s="2"/>
      <c r="C237" s="2"/>
      <c r="D237" s="2"/>
      <c r="E237" s="2"/>
      <c r="F237" s="2"/>
      <c r="G237" s="3"/>
      <c r="H237" s="2"/>
      <c r="I237" s="2"/>
      <c r="J237" s="2"/>
    </row>
    <row r="238" spans="1:10" ht="15" thickBot="1" x14ac:dyDescent="0.35">
      <c r="A238" s="1"/>
      <c r="B238" s="2"/>
      <c r="C238" s="2"/>
      <c r="D238" s="2"/>
      <c r="E238" s="2"/>
      <c r="F238" s="2"/>
      <c r="G238" s="3"/>
      <c r="H238" s="2"/>
      <c r="I238" s="2"/>
      <c r="J238" s="2"/>
    </row>
    <row r="239" spans="1:10" ht="15" thickBot="1" x14ac:dyDescent="0.35">
      <c r="A239" s="1"/>
      <c r="B239" s="2"/>
      <c r="C239" s="2"/>
      <c r="D239" s="2"/>
      <c r="E239" s="2"/>
      <c r="F239" s="2"/>
      <c r="G239" s="3"/>
      <c r="H239" s="2"/>
      <c r="I239" s="2"/>
      <c r="J239" s="2"/>
    </row>
    <row r="240" spans="1:10" ht="15" thickBot="1" x14ac:dyDescent="0.35">
      <c r="A240" s="1"/>
      <c r="B240" s="2"/>
      <c r="C240" s="2"/>
      <c r="D240" s="2"/>
      <c r="E240" s="2"/>
      <c r="F240" s="2"/>
      <c r="G240" s="3"/>
      <c r="H240" s="2"/>
      <c r="I240" s="2"/>
      <c r="J240" s="2"/>
    </row>
    <row r="241" spans="1:10" ht="15" thickBot="1" x14ac:dyDescent="0.35">
      <c r="A241" s="1"/>
      <c r="B241" s="2"/>
      <c r="C241" s="2"/>
      <c r="D241" s="2"/>
      <c r="E241" s="2"/>
      <c r="F241" s="2"/>
      <c r="G241" s="3"/>
      <c r="H241" s="2"/>
      <c r="I241" s="2"/>
      <c r="J241" s="2"/>
    </row>
    <row r="242" spans="1:10" ht="15" thickBot="1" x14ac:dyDescent="0.35">
      <c r="A242" s="1"/>
      <c r="B242" s="2"/>
      <c r="C242" s="2"/>
      <c r="D242" s="2"/>
      <c r="E242" s="2"/>
      <c r="F242" s="2"/>
      <c r="G242" s="3"/>
      <c r="H242" s="2"/>
      <c r="I242" s="2"/>
      <c r="J242" s="2"/>
    </row>
    <row r="243" spans="1:10" ht="15" thickBot="1" x14ac:dyDescent="0.35">
      <c r="A243" s="1"/>
      <c r="B243" s="2"/>
      <c r="C243" s="2"/>
      <c r="D243" s="2"/>
      <c r="E243" s="2"/>
      <c r="F243" s="2"/>
      <c r="G243" s="3"/>
      <c r="H243" s="2"/>
      <c r="I243" s="2"/>
      <c r="J243" s="2"/>
    </row>
    <row r="244" spans="1:10" ht="15" thickBot="1" x14ac:dyDescent="0.35">
      <c r="A244" s="1"/>
      <c r="B244" s="2"/>
      <c r="C244" s="2"/>
      <c r="D244" s="2"/>
      <c r="E244" s="2"/>
      <c r="F244" s="2"/>
      <c r="G244" s="3"/>
      <c r="H244" s="2"/>
      <c r="I244" s="2"/>
      <c r="J244" s="2"/>
    </row>
    <row r="245" spans="1:10" ht="15" thickBot="1" x14ac:dyDescent="0.35">
      <c r="A245" s="1"/>
      <c r="B245" s="2"/>
      <c r="C245" s="2"/>
      <c r="D245" s="2"/>
      <c r="E245" s="2"/>
      <c r="F245" s="2"/>
      <c r="G245" s="3"/>
      <c r="H245" s="2"/>
      <c r="I245" s="2"/>
      <c r="J245" s="2"/>
    </row>
    <row r="246" spans="1:10" ht="15" thickBot="1" x14ac:dyDescent="0.35">
      <c r="A246" s="1"/>
      <c r="B246" s="2"/>
      <c r="C246" s="2"/>
      <c r="D246" s="2"/>
      <c r="E246" s="2"/>
      <c r="F246" s="2"/>
      <c r="G246" s="3"/>
      <c r="H246" s="2"/>
      <c r="I246" s="2"/>
      <c r="J246" s="2"/>
    </row>
    <row r="247" spans="1:10" ht="15" thickBot="1" x14ac:dyDescent="0.35">
      <c r="A247" s="1"/>
      <c r="B247" s="2"/>
      <c r="C247" s="2"/>
      <c r="D247" s="2"/>
      <c r="E247" s="2"/>
      <c r="F247" s="2"/>
      <c r="G247" s="3"/>
      <c r="H247" s="2"/>
      <c r="I247" s="2"/>
      <c r="J247" s="2"/>
    </row>
    <row r="248" spans="1:10" ht="15" thickBot="1" x14ac:dyDescent="0.35">
      <c r="A248" s="1"/>
      <c r="B248" s="2"/>
      <c r="C248" s="2"/>
      <c r="D248" s="2"/>
      <c r="E248" s="2"/>
      <c r="F248" s="2"/>
      <c r="G248" s="3"/>
      <c r="H248" s="2"/>
      <c r="I248" s="2"/>
      <c r="J248" s="2"/>
    </row>
    <row r="249" spans="1:10" ht="15" thickBot="1" x14ac:dyDescent="0.35">
      <c r="A249" s="1"/>
      <c r="B249" s="2"/>
      <c r="C249" s="2"/>
      <c r="D249" s="2"/>
      <c r="E249" s="2"/>
      <c r="F249" s="2"/>
      <c r="G249" s="3"/>
      <c r="H249" s="2"/>
      <c r="I249" s="2"/>
      <c r="J249" s="2"/>
    </row>
    <row r="250" spans="1:10" ht="15" thickBot="1" x14ac:dyDescent="0.35">
      <c r="A250" s="1"/>
      <c r="B250" s="2"/>
      <c r="C250" s="2"/>
      <c r="D250" s="2"/>
      <c r="E250" s="2"/>
      <c r="F250" s="2"/>
      <c r="G250" s="3"/>
      <c r="H250" s="2"/>
      <c r="I250" s="2"/>
      <c r="J250" s="2"/>
    </row>
    <row r="251" spans="1:10" ht="15" thickBot="1" x14ac:dyDescent="0.35">
      <c r="A251" s="1"/>
      <c r="B251" s="2"/>
      <c r="C251" s="2"/>
      <c r="D251" s="2"/>
      <c r="E251" s="2"/>
      <c r="F251" s="2"/>
      <c r="G251" s="3"/>
      <c r="H251" s="2"/>
      <c r="I251" s="2"/>
      <c r="J251" s="2"/>
    </row>
    <row r="252" spans="1:10" ht="15" thickBot="1" x14ac:dyDescent="0.35">
      <c r="A252" s="1"/>
      <c r="B252" s="2"/>
      <c r="C252" s="2"/>
      <c r="D252" s="2"/>
      <c r="E252" s="2"/>
      <c r="F252" s="2"/>
      <c r="G252" s="3"/>
      <c r="H252" s="2"/>
      <c r="I252" s="2"/>
      <c r="J252" s="2"/>
    </row>
    <row r="253" spans="1:10" ht="15" thickBot="1" x14ac:dyDescent="0.35">
      <c r="A253" s="1"/>
      <c r="B253" s="2"/>
      <c r="C253" s="2"/>
      <c r="D253" s="2"/>
      <c r="E253" s="2"/>
      <c r="F253" s="2"/>
      <c r="G253" s="3"/>
      <c r="H253" s="2"/>
      <c r="I253" s="2"/>
      <c r="J253" s="2"/>
    </row>
    <row r="254" spans="1:10" ht="15" thickBot="1" x14ac:dyDescent="0.35">
      <c r="A254" s="1"/>
      <c r="B254" s="2"/>
      <c r="C254" s="2"/>
      <c r="D254" s="2"/>
      <c r="E254" s="2"/>
      <c r="F254" s="2"/>
      <c r="G254" s="3"/>
      <c r="H254" s="2"/>
      <c r="I254" s="2"/>
      <c r="J254" s="2"/>
    </row>
    <row r="255" spans="1:10" ht="15" thickBot="1" x14ac:dyDescent="0.35">
      <c r="A255" s="1"/>
      <c r="B255" s="2"/>
      <c r="C255" s="2"/>
      <c r="D255" s="2"/>
      <c r="E255" s="2"/>
      <c r="F255" s="2"/>
      <c r="G255" s="3"/>
      <c r="H255" s="2"/>
      <c r="I255" s="2"/>
      <c r="J255" s="2"/>
    </row>
    <row r="256" spans="1:10" ht="15" thickBot="1" x14ac:dyDescent="0.35">
      <c r="A256" s="1"/>
      <c r="B256" s="2"/>
      <c r="C256" s="2"/>
      <c r="D256" s="2"/>
      <c r="E256" s="2"/>
      <c r="F256" s="2"/>
      <c r="G256" s="3"/>
      <c r="H256" s="2"/>
      <c r="I256" s="2"/>
      <c r="J256" s="2"/>
    </row>
    <row r="257" spans="1:10" ht="15" thickBot="1" x14ac:dyDescent="0.35">
      <c r="A257" s="1"/>
      <c r="B257" s="2"/>
      <c r="C257" s="2"/>
      <c r="D257" s="2"/>
      <c r="E257" s="2"/>
      <c r="F257" s="2"/>
      <c r="G257" s="3"/>
      <c r="H257" s="2"/>
      <c r="I257" s="2"/>
      <c r="J257" s="2"/>
    </row>
    <row r="258" spans="1:10" ht="15" thickBot="1" x14ac:dyDescent="0.35">
      <c r="A258" s="1"/>
      <c r="B258" s="2"/>
      <c r="C258" s="2"/>
      <c r="D258" s="2"/>
      <c r="E258" s="2"/>
      <c r="F258" s="2"/>
      <c r="G258" s="3"/>
      <c r="H258" s="2"/>
      <c r="I258" s="2"/>
      <c r="J258" s="2"/>
    </row>
    <row r="259" spans="1:10" ht="15" thickBot="1" x14ac:dyDescent="0.35">
      <c r="A259" s="1"/>
      <c r="B259" s="2"/>
      <c r="C259" s="2"/>
      <c r="D259" s="2"/>
      <c r="E259" s="2"/>
      <c r="F259" s="2"/>
      <c r="G259" s="3"/>
      <c r="H259" s="2"/>
      <c r="I259" s="2"/>
      <c r="J259" s="2"/>
    </row>
    <row r="260" spans="1:10" ht="15" thickBot="1" x14ac:dyDescent="0.35">
      <c r="A260" s="1"/>
      <c r="B260" s="2"/>
      <c r="C260" s="2"/>
      <c r="D260" s="2"/>
      <c r="E260" s="2"/>
      <c r="F260" s="2"/>
      <c r="G260" s="3"/>
      <c r="H260" s="2"/>
      <c r="I260" s="2"/>
      <c r="J260" s="2"/>
    </row>
    <row r="261" spans="1:10" ht="15" thickBot="1" x14ac:dyDescent="0.35">
      <c r="A261" s="1"/>
      <c r="B261" s="2"/>
      <c r="C261" s="2"/>
      <c r="D261" s="2"/>
      <c r="E261" s="2"/>
      <c r="F261" s="2"/>
      <c r="G261" s="3"/>
      <c r="H261" s="2"/>
      <c r="I261" s="2"/>
      <c r="J261" s="2"/>
    </row>
    <row r="262" spans="1:10" ht="15" thickBot="1" x14ac:dyDescent="0.35">
      <c r="A262" s="1"/>
      <c r="B262" s="2"/>
      <c r="C262" s="2"/>
      <c r="D262" s="2"/>
      <c r="E262" s="2"/>
      <c r="F262" s="2"/>
      <c r="G262" s="3"/>
      <c r="H262" s="2"/>
      <c r="I262" s="2"/>
      <c r="J262" s="2"/>
    </row>
    <row r="263" spans="1:10" ht="15" thickBot="1" x14ac:dyDescent="0.35">
      <c r="A263" s="1"/>
      <c r="B263" s="2"/>
      <c r="C263" s="2"/>
      <c r="D263" s="2"/>
      <c r="E263" s="2"/>
      <c r="F263" s="2"/>
      <c r="G263" s="3"/>
      <c r="H263" s="2"/>
      <c r="I263" s="2"/>
      <c r="J263" s="2"/>
    </row>
    <row r="264" spans="1:10" ht="15" thickBot="1" x14ac:dyDescent="0.35">
      <c r="A264" s="1"/>
      <c r="B264" s="2"/>
      <c r="C264" s="2"/>
      <c r="D264" s="2"/>
      <c r="E264" s="2"/>
      <c r="F264" s="2"/>
      <c r="G264" s="3"/>
      <c r="H264" s="2"/>
      <c r="I264" s="2"/>
      <c r="J264" s="2"/>
    </row>
    <row r="265" spans="1:10" ht="15" thickBot="1" x14ac:dyDescent="0.35">
      <c r="A265" s="1"/>
      <c r="B265" s="2"/>
      <c r="C265" s="2"/>
      <c r="D265" s="2"/>
      <c r="E265" s="2"/>
      <c r="F265" s="2"/>
      <c r="G265" s="3"/>
      <c r="H265" s="2"/>
      <c r="I265" s="2"/>
      <c r="J265" s="2"/>
    </row>
    <row r="266" spans="1:10" ht="15" thickBot="1" x14ac:dyDescent="0.35">
      <c r="A266" s="1"/>
      <c r="B266" s="2"/>
      <c r="C266" s="2"/>
      <c r="D266" s="2"/>
      <c r="E266" s="2"/>
      <c r="F266" s="2"/>
      <c r="G266" s="3"/>
      <c r="H266" s="2"/>
      <c r="I266" s="2"/>
      <c r="J266" s="2"/>
    </row>
    <row r="267" spans="1:10" ht="15" thickBot="1" x14ac:dyDescent="0.35">
      <c r="A267" s="1"/>
      <c r="B267" s="2"/>
      <c r="C267" s="2"/>
      <c r="D267" s="2"/>
      <c r="E267" s="2"/>
      <c r="F267" s="2"/>
      <c r="G267" s="3"/>
      <c r="H267" s="2"/>
      <c r="I267" s="2"/>
      <c r="J267" s="2"/>
    </row>
    <row r="268" spans="1:10" ht="15" thickBot="1" x14ac:dyDescent="0.35">
      <c r="A268" s="1"/>
      <c r="B268" s="2"/>
      <c r="C268" s="2"/>
      <c r="D268" s="2"/>
      <c r="E268" s="2"/>
      <c r="F268" s="2"/>
      <c r="G268" s="3"/>
      <c r="H268" s="2"/>
      <c r="I268" s="2"/>
      <c r="J268" s="2"/>
    </row>
    <row r="269" spans="1:10" ht="15" thickBot="1" x14ac:dyDescent="0.35">
      <c r="A269" s="1"/>
      <c r="B269" s="2"/>
      <c r="C269" s="2"/>
      <c r="D269" s="2"/>
      <c r="E269" s="2"/>
      <c r="F269" s="2"/>
      <c r="G269" s="3"/>
      <c r="H269" s="2"/>
      <c r="I269" s="2"/>
      <c r="J269" s="2"/>
    </row>
    <row r="270" spans="1:10" ht="15" thickBot="1" x14ac:dyDescent="0.35">
      <c r="A270" s="1"/>
      <c r="B270" s="2"/>
      <c r="C270" s="2"/>
      <c r="D270" s="2"/>
      <c r="E270" s="2"/>
      <c r="F270" s="2"/>
      <c r="G270" s="3"/>
      <c r="H270" s="2"/>
      <c r="I270" s="2"/>
      <c r="J270" s="2"/>
    </row>
    <row r="271" spans="1:10" ht="15" thickBot="1" x14ac:dyDescent="0.35">
      <c r="A271" s="1"/>
      <c r="B271" s="2"/>
      <c r="C271" s="2"/>
      <c r="D271" s="2"/>
      <c r="E271" s="2"/>
      <c r="F271" s="2"/>
      <c r="G271" s="3"/>
      <c r="H271" s="2"/>
      <c r="I271" s="2"/>
      <c r="J271" s="2"/>
    </row>
    <row r="272" spans="1:10" ht="15" thickBot="1" x14ac:dyDescent="0.35">
      <c r="A272" s="1"/>
      <c r="B272" s="2"/>
      <c r="C272" s="2"/>
      <c r="D272" s="2"/>
      <c r="E272" s="2"/>
      <c r="F272" s="2"/>
      <c r="G272" s="3"/>
      <c r="H272" s="2"/>
      <c r="I272" s="2"/>
      <c r="J272" s="2"/>
    </row>
    <row r="273" spans="1:10" ht="15" thickBot="1" x14ac:dyDescent="0.35">
      <c r="A273" s="1"/>
      <c r="B273" s="2"/>
      <c r="C273" s="2"/>
      <c r="D273" s="2"/>
      <c r="E273" s="2"/>
      <c r="F273" s="2"/>
      <c r="G273" s="3"/>
      <c r="H273" s="2"/>
      <c r="I273" s="2"/>
      <c r="J273" s="2"/>
    </row>
    <row r="274" spans="1:10" ht="15" thickBot="1" x14ac:dyDescent="0.35">
      <c r="A274" s="1"/>
      <c r="B274" s="2"/>
      <c r="C274" s="2"/>
      <c r="D274" s="2"/>
      <c r="E274" s="2"/>
      <c r="F274" s="2"/>
      <c r="G274" s="3"/>
      <c r="H274" s="2"/>
      <c r="I274" s="2"/>
      <c r="J274" s="2"/>
    </row>
    <row r="275" spans="1:10" ht="15" thickBot="1" x14ac:dyDescent="0.35">
      <c r="A275" s="1"/>
      <c r="B275" s="2"/>
      <c r="C275" s="2"/>
      <c r="D275" s="2"/>
      <c r="E275" s="2"/>
      <c r="F275" s="2"/>
      <c r="G275" s="3"/>
      <c r="H275" s="2"/>
      <c r="I275" s="2"/>
      <c r="J275" s="2"/>
    </row>
    <row r="276" spans="1:10" ht="15" thickBot="1" x14ac:dyDescent="0.35">
      <c r="A276" s="1"/>
      <c r="B276" s="2"/>
      <c r="C276" s="2"/>
      <c r="D276" s="2"/>
      <c r="E276" s="2"/>
      <c r="F276" s="2"/>
      <c r="G276" s="3"/>
      <c r="H276" s="2"/>
      <c r="I276" s="2"/>
      <c r="J276" s="2"/>
    </row>
    <row r="277" spans="1:10" ht="15" thickBot="1" x14ac:dyDescent="0.35">
      <c r="A277" s="1"/>
      <c r="B277" s="2"/>
      <c r="C277" s="2"/>
      <c r="D277" s="2"/>
      <c r="E277" s="2"/>
      <c r="F277" s="2"/>
      <c r="G277" s="3"/>
      <c r="H277" s="2"/>
      <c r="I277" s="2"/>
      <c r="J277" s="2"/>
    </row>
    <row r="278" spans="1:10" ht="15" thickBot="1" x14ac:dyDescent="0.35">
      <c r="A278" s="1"/>
      <c r="B278" s="2"/>
      <c r="C278" s="2"/>
      <c r="D278" s="2"/>
      <c r="E278" s="2"/>
      <c r="F278" s="2"/>
      <c r="G278" s="3"/>
      <c r="H278" s="2"/>
      <c r="I278" s="2"/>
      <c r="J278" s="2"/>
    </row>
    <row r="279" spans="1:10" ht="15" thickBot="1" x14ac:dyDescent="0.35">
      <c r="A279" s="1"/>
      <c r="B279" s="2"/>
      <c r="C279" s="2"/>
      <c r="D279" s="2"/>
      <c r="E279" s="2"/>
      <c r="F279" s="2"/>
      <c r="G279" s="3"/>
      <c r="H279" s="2"/>
      <c r="I279" s="2"/>
      <c r="J279" s="2"/>
    </row>
    <row r="280" spans="1:10" ht="15" thickBot="1" x14ac:dyDescent="0.35">
      <c r="A280" s="1"/>
      <c r="B280" s="2"/>
      <c r="C280" s="2"/>
      <c r="D280" s="2"/>
      <c r="E280" s="2"/>
      <c r="F280" s="2"/>
      <c r="G280" s="3"/>
      <c r="H280" s="2"/>
      <c r="I280" s="2"/>
      <c r="J280" s="2"/>
    </row>
    <row r="281" spans="1:10" ht="15" thickBot="1" x14ac:dyDescent="0.35">
      <c r="A281" s="1"/>
      <c r="B281" s="2"/>
      <c r="C281" s="2"/>
      <c r="D281" s="2"/>
      <c r="E281" s="2"/>
      <c r="F281" s="2"/>
      <c r="G281" s="3"/>
      <c r="H281" s="2"/>
      <c r="I281" s="2"/>
      <c r="J281" s="2"/>
    </row>
    <row r="282" spans="1:10" ht="15" thickBot="1" x14ac:dyDescent="0.35">
      <c r="A282" s="1"/>
      <c r="B282" s="2"/>
      <c r="C282" s="2"/>
      <c r="D282" s="2"/>
      <c r="E282" s="2"/>
      <c r="F282" s="2"/>
      <c r="G282" s="3"/>
      <c r="H282" s="2"/>
      <c r="I282" s="2"/>
      <c r="J282" s="2"/>
    </row>
    <row r="283" spans="1:10" ht="15" thickBot="1" x14ac:dyDescent="0.35">
      <c r="A283" s="1"/>
      <c r="B283" s="2"/>
      <c r="C283" s="2"/>
      <c r="D283" s="2"/>
      <c r="E283" s="2"/>
      <c r="F283" s="2"/>
      <c r="G283" s="3"/>
      <c r="H283" s="2"/>
      <c r="I283" s="2"/>
      <c r="J283" s="2"/>
    </row>
    <row r="284" spans="1:10" ht="15" thickBot="1" x14ac:dyDescent="0.35">
      <c r="A284" s="1"/>
      <c r="B284" s="2"/>
      <c r="C284" s="2"/>
      <c r="D284" s="2"/>
      <c r="E284" s="2"/>
      <c r="F284" s="2"/>
      <c r="G284" s="3"/>
      <c r="H284" s="2"/>
      <c r="I284" s="2"/>
      <c r="J284" s="2"/>
    </row>
    <row r="285" spans="1:10" ht="15" thickBot="1" x14ac:dyDescent="0.35">
      <c r="A285" s="1"/>
      <c r="B285" s="2"/>
      <c r="C285" s="2"/>
      <c r="D285" s="2"/>
      <c r="E285" s="2"/>
      <c r="F285" s="2"/>
      <c r="G285" s="3"/>
      <c r="H285" s="2"/>
      <c r="I285" s="2"/>
      <c r="J285" s="2"/>
    </row>
    <row r="286" spans="1:10" ht="15" thickBot="1" x14ac:dyDescent="0.35">
      <c r="A286" s="1"/>
      <c r="B286" s="2"/>
      <c r="C286" s="2"/>
      <c r="D286" s="2"/>
      <c r="E286" s="2"/>
      <c r="F286" s="2"/>
      <c r="G286" s="3"/>
      <c r="H286" s="2"/>
      <c r="I286" s="2"/>
      <c r="J286" s="2"/>
    </row>
    <row r="287" spans="1:10" ht="15" thickBot="1" x14ac:dyDescent="0.35">
      <c r="A287" s="1"/>
      <c r="B287" s="2"/>
      <c r="C287" s="2"/>
      <c r="D287" s="2"/>
      <c r="E287" s="2"/>
      <c r="F287" s="2"/>
      <c r="G287" s="3"/>
      <c r="H287" s="2"/>
      <c r="I287" s="2"/>
      <c r="J287" s="2"/>
    </row>
    <row r="288" spans="1:10" ht="15" thickBot="1" x14ac:dyDescent="0.35">
      <c r="A288" s="1"/>
      <c r="B288" s="2"/>
      <c r="C288" s="2"/>
      <c r="D288" s="2"/>
      <c r="E288" s="2"/>
      <c r="F288" s="2"/>
      <c r="G288" s="3"/>
      <c r="H288" s="2"/>
      <c r="I288" s="2"/>
      <c r="J288" s="2"/>
    </row>
    <row r="289" spans="1:10" ht="15" thickBot="1" x14ac:dyDescent="0.35">
      <c r="A289" s="1"/>
      <c r="B289" s="2"/>
      <c r="C289" s="2"/>
      <c r="D289" s="2"/>
      <c r="E289" s="2"/>
      <c r="F289" s="2"/>
      <c r="G289" s="3"/>
      <c r="H289" s="2"/>
      <c r="I289" s="2"/>
      <c r="J289" s="2"/>
    </row>
    <row r="290" spans="1:10" ht="15" thickBot="1" x14ac:dyDescent="0.35">
      <c r="A290" s="1"/>
      <c r="B290" s="2"/>
      <c r="C290" s="2"/>
      <c r="D290" s="2"/>
      <c r="E290" s="2"/>
      <c r="F290" s="2"/>
      <c r="G290" s="3"/>
      <c r="H290" s="2"/>
      <c r="I290" s="2"/>
      <c r="J290" s="2"/>
    </row>
    <row r="291" spans="1:10" ht="15" thickBot="1" x14ac:dyDescent="0.35">
      <c r="A291" s="1"/>
      <c r="B291" s="2"/>
      <c r="C291" s="2"/>
      <c r="D291" s="2"/>
      <c r="E291" s="2"/>
      <c r="F291" s="2"/>
      <c r="G291" s="3"/>
      <c r="H291" s="2"/>
      <c r="I291" s="2"/>
      <c r="J291" s="2"/>
    </row>
    <row r="292" spans="1:10" ht="15" thickBot="1" x14ac:dyDescent="0.35">
      <c r="A292" s="1"/>
      <c r="B292" s="2"/>
      <c r="C292" s="2"/>
      <c r="D292" s="2"/>
      <c r="E292" s="2"/>
      <c r="F292" s="2"/>
      <c r="G292" s="3"/>
      <c r="H292" s="2"/>
      <c r="I292" s="2"/>
      <c r="J292" s="2"/>
    </row>
    <row r="293" spans="1:10" ht="15" thickBot="1" x14ac:dyDescent="0.35">
      <c r="A293" s="1"/>
      <c r="B293" s="2"/>
      <c r="C293" s="2"/>
      <c r="D293" s="2"/>
      <c r="E293" s="2"/>
      <c r="F293" s="2"/>
      <c r="G293" s="3"/>
      <c r="H293" s="2"/>
      <c r="I293" s="2"/>
      <c r="J293" s="2"/>
    </row>
    <row r="294" spans="1:10" ht="15" thickBot="1" x14ac:dyDescent="0.35">
      <c r="A294" s="1"/>
      <c r="B294" s="2"/>
      <c r="C294" s="2"/>
      <c r="D294" s="2"/>
      <c r="E294" s="2"/>
      <c r="F294" s="2"/>
      <c r="G294" s="3"/>
      <c r="H294" s="2"/>
      <c r="I294" s="2"/>
      <c r="J294" s="2"/>
    </row>
    <row r="295" spans="1:10" ht="15" thickBot="1" x14ac:dyDescent="0.35">
      <c r="A295" s="1"/>
      <c r="B295" s="2"/>
      <c r="C295" s="2"/>
      <c r="D295" s="2"/>
      <c r="E295" s="2"/>
      <c r="F295" s="2"/>
      <c r="G295" s="3"/>
      <c r="H295" s="2"/>
      <c r="I295" s="2"/>
      <c r="J295" s="2"/>
    </row>
    <row r="296" spans="1:10" ht="15" thickBot="1" x14ac:dyDescent="0.35">
      <c r="A296" s="1"/>
      <c r="B296" s="2"/>
      <c r="C296" s="2"/>
      <c r="D296" s="2"/>
      <c r="E296" s="2"/>
      <c r="F296" s="2"/>
      <c r="G296" s="3"/>
      <c r="H296" s="2"/>
      <c r="I296" s="2"/>
      <c r="J296" s="2"/>
    </row>
    <row r="297" spans="1:10" ht="15" thickBot="1" x14ac:dyDescent="0.35">
      <c r="A297" s="1"/>
      <c r="B297" s="2"/>
      <c r="C297" s="2"/>
      <c r="D297" s="2"/>
      <c r="E297" s="2"/>
      <c r="F297" s="2"/>
      <c r="G297" s="3"/>
      <c r="H297" s="2"/>
      <c r="I297" s="2"/>
      <c r="J297" s="2"/>
    </row>
    <row r="298" spans="1:10" ht="15" thickBot="1" x14ac:dyDescent="0.35">
      <c r="A298" s="1"/>
      <c r="B298" s="2"/>
      <c r="C298" s="2"/>
      <c r="D298" s="2"/>
      <c r="E298" s="2"/>
      <c r="F298" s="2"/>
      <c r="G298" s="3"/>
      <c r="H298" s="2"/>
      <c r="I298" s="2"/>
      <c r="J298" s="2"/>
    </row>
    <row r="299" spans="1:10" ht="15" thickBot="1" x14ac:dyDescent="0.35">
      <c r="A299" s="1"/>
      <c r="B299" s="2"/>
      <c r="C299" s="2"/>
      <c r="D299" s="2"/>
      <c r="E299" s="2"/>
      <c r="F299" s="2"/>
      <c r="G299" s="3"/>
      <c r="H299" s="2"/>
      <c r="I299" s="2"/>
      <c r="J299" s="2"/>
    </row>
    <row r="300" spans="1:10" ht="15" thickBot="1" x14ac:dyDescent="0.35">
      <c r="A300" s="1"/>
      <c r="B300" s="2"/>
      <c r="C300" s="2"/>
      <c r="D300" s="2"/>
      <c r="E300" s="2"/>
      <c r="F300" s="2"/>
      <c r="G300" s="3"/>
      <c r="H300" s="2"/>
      <c r="I300" s="2"/>
      <c r="J300" s="2"/>
    </row>
    <row r="301" spans="1:10" ht="15" thickBot="1" x14ac:dyDescent="0.35">
      <c r="A301" s="1"/>
      <c r="B301" s="2"/>
      <c r="C301" s="2"/>
      <c r="D301" s="2"/>
      <c r="E301" s="2"/>
      <c r="F301" s="2"/>
      <c r="G301" s="3"/>
      <c r="H301" s="2"/>
      <c r="I301" s="2"/>
      <c r="J301" s="2"/>
    </row>
    <row r="302" spans="1:10" ht="15" thickBot="1" x14ac:dyDescent="0.35">
      <c r="A302" s="1"/>
      <c r="B302" s="2"/>
      <c r="C302" s="2"/>
      <c r="D302" s="2"/>
      <c r="E302" s="2"/>
      <c r="F302" s="2"/>
      <c r="G302" s="3"/>
      <c r="H302" s="2"/>
      <c r="I302" s="2"/>
      <c r="J302" s="2"/>
    </row>
    <row r="303" spans="1:10" ht="15" thickBot="1" x14ac:dyDescent="0.35">
      <c r="A303" s="1"/>
      <c r="B303" s="2"/>
      <c r="C303" s="2"/>
      <c r="D303" s="2"/>
      <c r="E303" s="2"/>
      <c r="F303" s="2"/>
      <c r="G303" s="3"/>
      <c r="H303" s="2"/>
      <c r="I303" s="2"/>
      <c r="J303" s="2"/>
    </row>
    <row r="304" spans="1:10" ht="15" thickBot="1" x14ac:dyDescent="0.35">
      <c r="A304" s="1"/>
      <c r="B304" s="2"/>
      <c r="C304" s="2"/>
      <c r="D304" s="2"/>
      <c r="E304" s="2"/>
      <c r="F304" s="2"/>
      <c r="G304" s="3"/>
      <c r="H304" s="2"/>
      <c r="I304" s="2"/>
      <c r="J304" s="2"/>
    </row>
    <row r="305" spans="1:10" ht="15" thickBot="1" x14ac:dyDescent="0.35">
      <c r="A305" s="1"/>
      <c r="B305" s="2"/>
      <c r="C305" s="2"/>
      <c r="D305" s="2"/>
      <c r="E305" s="2"/>
      <c r="F305" s="2"/>
      <c r="G305" s="3"/>
      <c r="H305" s="2"/>
      <c r="I305" s="2"/>
      <c r="J305" s="2"/>
    </row>
    <row r="306" spans="1:10" ht="15" thickBot="1" x14ac:dyDescent="0.35">
      <c r="A306" s="1"/>
      <c r="B306" s="2"/>
      <c r="C306" s="2"/>
      <c r="D306" s="2"/>
      <c r="E306" s="2"/>
      <c r="F306" s="2"/>
      <c r="G306" s="3"/>
      <c r="H306" s="2"/>
      <c r="I306" s="2"/>
      <c r="J306" s="2"/>
    </row>
    <row r="307" spans="1:10" ht="15" thickBot="1" x14ac:dyDescent="0.35">
      <c r="A307" s="1"/>
      <c r="B307" s="2"/>
      <c r="C307" s="2"/>
      <c r="D307" s="2"/>
      <c r="E307" s="2"/>
      <c r="F307" s="2"/>
      <c r="G307" s="3"/>
      <c r="H307" s="2"/>
      <c r="I307" s="2"/>
      <c r="J307" s="2"/>
    </row>
    <row r="308" spans="1:10" ht="15" thickBot="1" x14ac:dyDescent="0.35">
      <c r="A308" s="1"/>
      <c r="B308" s="2"/>
      <c r="C308" s="2"/>
      <c r="D308" s="2"/>
      <c r="E308" s="2"/>
      <c r="F308" s="2"/>
      <c r="G308" s="3"/>
      <c r="H308" s="2"/>
      <c r="I308" s="2"/>
      <c r="J308" s="2"/>
    </row>
    <row r="309" spans="1:10" ht="15" thickBot="1" x14ac:dyDescent="0.35">
      <c r="A309" s="1"/>
      <c r="B309" s="2"/>
      <c r="C309" s="2"/>
      <c r="D309" s="2"/>
      <c r="E309" s="2"/>
      <c r="F309" s="2"/>
      <c r="G309" s="3"/>
      <c r="H309" s="2"/>
      <c r="I309" s="2"/>
      <c r="J309" s="2"/>
    </row>
    <row r="310" spans="1:10" ht="15" thickBot="1" x14ac:dyDescent="0.35">
      <c r="A310" s="1"/>
      <c r="B310" s="2"/>
      <c r="C310" s="2"/>
      <c r="D310" s="2"/>
      <c r="E310" s="2"/>
      <c r="F310" s="2"/>
      <c r="G310" s="3"/>
      <c r="H310" s="2"/>
      <c r="I310" s="2"/>
      <c r="J310" s="2"/>
    </row>
    <row r="311" spans="1:10" ht="15" thickBot="1" x14ac:dyDescent="0.35">
      <c r="A311" s="1"/>
      <c r="B311" s="2"/>
      <c r="C311" s="2"/>
      <c r="D311" s="2"/>
      <c r="E311" s="2"/>
      <c r="F311" s="2"/>
      <c r="G311" s="3"/>
      <c r="H311" s="2"/>
      <c r="I311" s="2"/>
      <c r="J311" s="2"/>
    </row>
    <row r="312" spans="1:10" ht="15" thickBot="1" x14ac:dyDescent="0.35">
      <c r="A312" s="1"/>
      <c r="B312" s="2"/>
      <c r="C312" s="2"/>
      <c r="D312" s="2"/>
      <c r="E312" s="2"/>
      <c r="F312" s="2"/>
      <c r="G312" s="3"/>
      <c r="H312" s="2"/>
      <c r="I312" s="2"/>
      <c r="J312" s="2"/>
    </row>
    <row r="313" spans="1:10" ht="15" thickBot="1" x14ac:dyDescent="0.35">
      <c r="A313" s="1"/>
      <c r="B313" s="2"/>
      <c r="C313" s="2"/>
      <c r="D313" s="2"/>
      <c r="E313" s="2"/>
      <c r="F313" s="2"/>
      <c r="G313" s="3"/>
      <c r="H313" s="2"/>
      <c r="I313" s="2"/>
      <c r="J313" s="2"/>
    </row>
    <row r="314" spans="1:10" ht="15" thickBot="1" x14ac:dyDescent="0.35">
      <c r="A314" s="1"/>
      <c r="B314" s="2"/>
      <c r="C314" s="2"/>
      <c r="D314" s="2"/>
      <c r="E314" s="2"/>
      <c r="F314" s="2"/>
      <c r="G314" s="3"/>
      <c r="H314" s="2"/>
      <c r="I314" s="2"/>
      <c r="J314" s="2"/>
    </row>
    <row r="315" spans="1:10" ht="15" thickBot="1" x14ac:dyDescent="0.35">
      <c r="A315" s="1"/>
      <c r="B315" s="2"/>
      <c r="C315" s="2"/>
      <c r="D315" s="2"/>
      <c r="E315" s="2"/>
      <c r="F315" s="2"/>
      <c r="G315" s="3"/>
      <c r="H315" s="2"/>
      <c r="I315" s="2"/>
      <c r="J315" s="2"/>
    </row>
    <row r="316" spans="1:10" ht="15" thickBot="1" x14ac:dyDescent="0.35">
      <c r="A316" s="1"/>
      <c r="B316" s="2"/>
      <c r="C316" s="2"/>
      <c r="D316" s="2"/>
      <c r="E316" s="2"/>
      <c r="F316" s="2"/>
      <c r="G316" s="3"/>
      <c r="H316" s="2"/>
      <c r="I316" s="2"/>
      <c r="J316" s="2"/>
    </row>
    <row r="317" spans="1:10" ht="15" thickBot="1" x14ac:dyDescent="0.35">
      <c r="A317" s="1"/>
      <c r="B317" s="2"/>
      <c r="C317" s="2"/>
      <c r="D317" s="2"/>
      <c r="E317" s="2"/>
      <c r="F317" s="2"/>
      <c r="G317" s="3"/>
      <c r="H317" s="2"/>
      <c r="I317" s="2"/>
      <c r="J317" s="2"/>
    </row>
    <row r="318" spans="1:10" ht="15" thickBot="1" x14ac:dyDescent="0.35">
      <c r="A318" s="1"/>
      <c r="B318" s="2"/>
      <c r="C318" s="2"/>
      <c r="D318" s="2"/>
      <c r="E318" s="2"/>
      <c r="F318" s="2"/>
      <c r="G318" s="3"/>
      <c r="H318" s="2"/>
      <c r="I318" s="2"/>
      <c r="J318" s="2"/>
    </row>
    <row r="319" spans="1:10" ht="15" thickBot="1" x14ac:dyDescent="0.35">
      <c r="A319" s="1"/>
      <c r="B319" s="2"/>
      <c r="C319" s="2"/>
      <c r="D319" s="2"/>
      <c r="E319" s="2"/>
      <c r="F319" s="2"/>
      <c r="G319" s="3"/>
      <c r="H319" s="2"/>
      <c r="I319" s="2"/>
      <c r="J319" s="2"/>
    </row>
    <row r="320" spans="1:10" ht="15" thickBot="1" x14ac:dyDescent="0.35">
      <c r="A320" s="1"/>
      <c r="B320" s="2"/>
      <c r="C320" s="2"/>
      <c r="D320" s="2"/>
      <c r="E320" s="2"/>
      <c r="F320" s="2"/>
      <c r="G320" s="3"/>
      <c r="H320" s="2"/>
      <c r="I320" s="2"/>
      <c r="J320" s="2"/>
    </row>
    <row r="321" spans="1:10" ht="15" thickBot="1" x14ac:dyDescent="0.35">
      <c r="A321" s="1"/>
      <c r="B321" s="2"/>
      <c r="C321" s="2"/>
      <c r="D321" s="2"/>
      <c r="E321" s="2"/>
      <c r="F321" s="2"/>
      <c r="G321" s="3"/>
      <c r="H321" s="2"/>
      <c r="I321" s="2"/>
      <c r="J321" s="2"/>
    </row>
    <row r="322" spans="1:10" ht="15" thickBot="1" x14ac:dyDescent="0.35">
      <c r="A322" s="1"/>
      <c r="B322" s="2"/>
      <c r="C322" s="2"/>
      <c r="D322" s="2"/>
      <c r="E322" s="2"/>
      <c r="F322" s="2"/>
      <c r="G322" s="3"/>
      <c r="H322" s="2"/>
      <c r="I322" s="2"/>
      <c r="J322" s="2"/>
    </row>
    <row r="323" spans="1:10" ht="15" thickBot="1" x14ac:dyDescent="0.35">
      <c r="A323" s="1"/>
      <c r="B323" s="2"/>
      <c r="C323" s="2"/>
      <c r="D323" s="2"/>
      <c r="E323" s="2"/>
      <c r="F323" s="2"/>
      <c r="G323" s="3"/>
      <c r="H323" s="2"/>
      <c r="I323" s="2"/>
      <c r="J323" s="2"/>
    </row>
    <row r="324" spans="1:10" ht="15" thickBot="1" x14ac:dyDescent="0.35">
      <c r="A324" s="1"/>
      <c r="B324" s="2"/>
      <c r="C324" s="2"/>
      <c r="D324" s="2"/>
      <c r="E324" s="2"/>
      <c r="F324" s="2"/>
      <c r="G324" s="3"/>
      <c r="H324" s="2"/>
      <c r="I324" s="2"/>
      <c r="J324" s="2"/>
    </row>
    <row r="325" spans="1:10" ht="15" thickBot="1" x14ac:dyDescent="0.35">
      <c r="A325" s="1"/>
      <c r="B325" s="2"/>
      <c r="C325" s="2"/>
      <c r="D325" s="2"/>
      <c r="E325" s="2"/>
      <c r="F325" s="2"/>
      <c r="G325" s="3"/>
      <c r="H325" s="2"/>
      <c r="I325" s="2"/>
      <c r="J325" s="2"/>
    </row>
    <row r="326" spans="1:10" ht="15" thickBot="1" x14ac:dyDescent="0.35">
      <c r="A326" s="1"/>
      <c r="B326" s="2"/>
      <c r="C326" s="2"/>
      <c r="D326" s="2"/>
      <c r="E326" s="2"/>
      <c r="F326" s="2"/>
      <c r="G326" s="3"/>
      <c r="H326" s="2"/>
      <c r="I326" s="2"/>
      <c r="J326" s="2"/>
    </row>
    <row r="327" spans="1:10" ht="15" thickBot="1" x14ac:dyDescent="0.35">
      <c r="A327" s="1"/>
      <c r="B327" s="2"/>
      <c r="C327" s="2"/>
      <c r="D327" s="2"/>
      <c r="E327" s="2"/>
      <c r="F327" s="2"/>
      <c r="G327" s="3"/>
      <c r="H327" s="2"/>
      <c r="I327" s="2"/>
      <c r="J327" s="2"/>
    </row>
    <row r="328" spans="1:10" ht="15" thickBot="1" x14ac:dyDescent="0.35">
      <c r="A328" s="1"/>
      <c r="B328" s="2"/>
      <c r="C328" s="2"/>
      <c r="D328" s="2"/>
      <c r="E328" s="2"/>
      <c r="F328" s="2"/>
      <c r="G328" s="3"/>
      <c r="H328" s="2"/>
      <c r="I328" s="2"/>
      <c r="J328" s="2"/>
    </row>
    <row r="329" spans="1:10" ht="15" thickBot="1" x14ac:dyDescent="0.35">
      <c r="A329" s="1"/>
      <c r="B329" s="2"/>
      <c r="C329" s="2"/>
      <c r="D329" s="2"/>
      <c r="E329" s="2"/>
      <c r="F329" s="2"/>
      <c r="G329" s="3"/>
      <c r="H329" s="2"/>
      <c r="I329" s="2"/>
      <c r="J329" s="2"/>
    </row>
    <row r="330" spans="1:10" ht="15" thickBot="1" x14ac:dyDescent="0.35">
      <c r="A330" s="1"/>
      <c r="B330" s="2"/>
      <c r="C330" s="2"/>
      <c r="D330" s="2"/>
      <c r="E330" s="2"/>
      <c r="F330" s="2"/>
      <c r="G330" s="3"/>
      <c r="H330" s="2"/>
      <c r="I330" s="2"/>
      <c r="J330" s="2"/>
    </row>
    <row r="331" spans="1:10" ht="15" thickBot="1" x14ac:dyDescent="0.35">
      <c r="A331" s="1"/>
      <c r="B331" s="2"/>
      <c r="C331" s="2"/>
      <c r="D331" s="2"/>
      <c r="E331" s="2"/>
      <c r="F331" s="2"/>
      <c r="G331" s="3"/>
      <c r="H331" s="2"/>
      <c r="I331" s="2"/>
      <c r="J331" s="2"/>
    </row>
    <row r="332" spans="1:10" ht="15" thickBot="1" x14ac:dyDescent="0.35">
      <c r="A332" s="1"/>
      <c r="B332" s="2"/>
      <c r="C332" s="2"/>
      <c r="D332" s="2"/>
      <c r="E332" s="2"/>
      <c r="F332" s="2"/>
      <c r="G332" s="3"/>
      <c r="H332" s="2"/>
      <c r="I332" s="2"/>
      <c r="J332" s="2"/>
    </row>
    <row r="333" spans="1:10" ht="15" thickBot="1" x14ac:dyDescent="0.35">
      <c r="A333" s="1"/>
      <c r="B333" s="2"/>
      <c r="C333" s="2"/>
      <c r="D333" s="2"/>
      <c r="E333" s="2"/>
      <c r="F333" s="2"/>
      <c r="G333" s="3"/>
      <c r="H333" s="2"/>
      <c r="I333" s="2"/>
      <c r="J333" s="2"/>
    </row>
    <row r="334" spans="1:10" ht="15" thickBot="1" x14ac:dyDescent="0.35">
      <c r="A334" s="1"/>
      <c r="B334" s="2"/>
      <c r="C334" s="2"/>
      <c r="D334" s="2"/>
      <c r="E334" s="2"/>
      <c r="F334" s="2"/>
      <c r="G334" s="3"/>
      <c r="H334" s="2"/>
      <c r="I334" s="2"/>
      <c r="J334" s="2"/>
    </row>
    <row r="335" spans="1:10" ht="15" thickBot="1" x14ac:dyDescent="0.35">
      <c r="A335" s="1"/>
      <c r="B335" s="2"/>
      <c r="C335" s="2"/>
      <c r="D335" s="2"/>
      <c r="E335" s="2"/>
      <c r="F335" s="2"/>
      <c r="G335" s="3"/>
      <c r="H335" s="2"/>
      <c r="I335" s="2"/>
      <c r="J335" s="2"/>
    </row>
    <row r="336" spans="1:10" ht="15" thickBot="1" x14ac:dyDescent="0.35">
      <c r="A336" s="1"/>
      <c r="B336" s="2"/>
      <c r="C336" s="2"/>
      <c r="D336" s="2"/>
      <c r="E336" s="2"/>
      <c r="F336" s="2"/>
      <c r="G336" s="3"/>
      <c r="H336" s="2"/>
      <c r="I336" s="2"/>
      <c r="J336" s="2"/>
    </row>
    <row r="337" spans="1:10" ht="15" thickBot="1" x14ac:dyDescent="0.35">
      <c r="A337" s="1"/>
      <c r="B337" s="2"/>
      <c r="C337" s="2"/>
      <c r="D337" s="2"/>
      <c r="E337" s="2"/>
      <c r="F337" s="2"/>
      <c r="G337" s="3"/>
      <c r="H337" s="2"/>
      <c r="I337" s="2"/>
      <c r="J337" s="2"/>
    </row>
    <row r="338" spans="1:10" ht="15" thickBot="1" x14ac:dyDescent="0.35">
      <c r="A338" s="1"/>
      <c r="B338" s="2"/>
      <c r="C338" s="2"/>
      <c r="D338" s="2"/>
      <c r="E338" s="2"/>
      <c r="F338" s="2"/>
      <c r="G338" s="3"/>
      <c r="H338" s="2"/>
      <c r="I338" s="2"/>
      <c r="J338" s="2"/>
    </row>
    <row r="339" spans="1:10" ht="15" thickBot="1" x14ac:dyDescent="0.35">
      <c r="A339" s="1"/>
      <c r="B339" s="2"/>
      <c r="C339" s="2"/>
      <c r="D339" s="2"/>
      <c r="E339" s="2"/>
      <c r="F339" s="2"/>
      <c r="G339" s="3"/>
      <c r="H339" s="2"/>
      <c r="I339" s="2"/>
      <c r="J339" s="2"/>
    </row>
    <row r="340" spans="1:10" ht="15" thickBot="1" x14ac:dyDescent="0.35">
      <c r="A340" s="1"/>
      <c r="B340" s="2"/>
      <c r="C340" s="2"/>
      <c r="D340" s="2"/>
      <c r="E340" s="2"/>
      <c r="F340" s="2"/>
      <c r="G340" s="3"/>
      <c r="H340" s="2"/>
      <c r="I340" s="2"/>
      <c r="J340" s="2"/>
    </row>
    <row r="341" spans="1:10" ht="15" thickBot="1" x14ac:dyDescent="0.35">
      <c r="A341" s="1"/>
      <c r="B341" s="2"/>
      <c r="C341" s="2"/>
      <c r="D341" s="2"/>
      <c r="E341" s="2"/>
      <c r="F341" s="2"/>
      <c r="G341" s="3"/>
      <c r="H341" s="2"/>
      <c r="I341" s="2"/>
      <c r="J341" s="2"/>
    </row>
    <row r="342" spans="1:10" ht="15" thickBot="1" x14ac:dyDescent="0.35">
      <c r="A342" s="1"/>
      <c r="B342" s="2"/>
      <c r="C342" s="2"/>
      <c r="D342" s="2"/>
      <c r="E342" s="2"/>
      <c r="F342" s="2"/>
      <c r="G342" s="3"/>
      <c r="H342" s="2"/>
      <c r="I342" s="2"/>
      <c r="J342" s="2"/>
    </row>
    <row r="343" spans="1:10" ht="15" thickBot="1" x14ac:dyDescent="0.35">
      <c r="A343" s="1"/>
      <c r="B343" s="2"/>
      <c r="C343" s="2"/>
      <c r="D343" s="2"/>
      <c r="E343" s="2"/>
      <c r="F343" s="2"/>
      <c r="G343" s="3"/>
      <c r="H343" s="2"/>
      <c r="I343" s="2"/>
      <c r="J343" s="2"/>
    </row>
    <row r="344" spans="1:10" ht="15" thickBot="1" x14ac:dyDescent="0.35">
      <c r="A344" s="1"/>
      <c r="B344" s="2"/>
      <c r="C344" s="2"/>
      <c r="D344" s="2"/>
      <c r="E344" s="2"/>
      <c r="F344" s="2"/>
      <c r="G344" s="3"/>
      <c r="H344" s="2"/>
      <c r="I344" s="2"/>
      <c r="J344" s="2"/>
    </row>
    <row r="345" spans="1:10" ht="15" thickBot="1" x14ac:dyDescent="0.35">
      <c r="A345" s="1"/>
      <c r="B345" s="2"/>
      <c r="C345" s="2"/>
      <c r="D345" s="2"/>
      <c r="E345" s="2"/>
      <c r="F345" s="2"/>
      <c r="G345" s="3"/>
      <c r="H345" s="2"/>
      <c r="I345" s="2"/>
      <c r="J345" s="2"/>
    </row>
    <row r="346" spans="1:10" ht="15" thickBot="1" x14ac:dyDescent="0.35">
      <c r="A346" s="1"/>
      <c r="B346" s="2"/>
      <c r="C346" s="2"/>
      <c r="D346" s="2"/>
      <c r="E346" s="2"/>
      <c r="F346" s="2"/>
      <c r="G346" s="3"/>
      <c r="H346" s="2"/>
      <c r="I346" s="2"/>
      <c r="J346" s="2"/>
    </row>
    <row r="347" spans="1:10" ht="15" thickBot="1" x14ac:dyDescent="0.35">
      <c r="A347" s="1"/>
      <c r="B347" s="2"/>
      <c r="C347" s="2"/>
      <c r="D347" s="2"/>
      <c r="E347" s="2"/>
      <c r="F347" s="2"/>
      <c r="G347" s="3"/>
      <c r="H347" s="2"/>
      <c r="I347" s="2"/>
      <c r="J347" s="2"/>
    </row>
    <row r="348" spans="1:10" ht="15" thickBot="1" x14ac:dyDescent="0.35">
      <c r="A348" s="1"/>
      <c r="B348" s="2"/>
      <c r="C348" s="2"/>
      <c r="D348" s="2"/>
      <c r="E348" s="2"/>
      <c r="F348" s="2"/>
      <c r="G348" s="3"/>
      <c r="H348" s="2"/>
      <c r="I348" s="2"/>
      <c r="J348" s="2"/>
    </row>
    <row r="349" spans="1:10" ht="15" thickBot="1" x14ac:dyDescent="0.35">
      <c r="A349" s="1"/>
      <c r="B349" s="2"/>
      <c r="C349" s="2"/>
      <c r="D349" s="2"/>
      <c r="E349" s="2"/>
      <c r="F349" s="2"/>
      <c r="G349" s="3"/>
      <c r="H349" s="2"/>
      <c r="I349" s="2"/>
      <c r="J349" s="2"/>
    </row>
    <row r="350" spans="1:10" ht="15" thickBot="1" x14ac:dyDescent="0.35">
      <c r="A350" s="1"/>
      <c r="B350" s="2"/>
      <c r="C350" s="2"/>
      <c r="D350" s="2"/>
      <c r="E350" s="2"/>
      <c r="F350" s="2"/>
      <c r="G350" s="3"/>
      <c r="H350" s="2"/>
      <c r="I350" s="2"/>
      <c r="J350" s="2"/>
    </row>
    <row r="351" spans="1:10" ht="15" thickBot="1" x14ac:dyDescent="0.35">
      <c r="A351" s="1"/>
      <c r="B351" s="2"/>
      <c r="C351" s="2"/>
      <c r="D351" s="2"/>
      <c r="E351" s="2"/>
      <c r="F351" s="2"/>
      <c r="G351" s="3"/>
      <c r="H351" s="2"/>
      <c r="I351" s="2"/>
      <c r="J351" s="2"/>
    </row>
    <row r="352" spans="1:10" ht="15" thickBot="1" x14ac:dyDescent="0.35">
      <c r="A352" s="1"/>
      <c r="B352" s="2"/>
      <c r="C352" s="2"/>
      <c r="D352" s="2"/>
      <c r="E352" s="2"/>
      <c r="F352" s="2"/>
      <c r="G352" s="3"/>
      <c r="H352" s="2"/>
      <c r="I352" s="2"/>
      <c r="J352" s="2"/>
    </row>
    <row r="353" spans="1:10" ht="15" thickBot="1" x14ac:dyDescent="0.35">
      <c r="A353" s="1"/>
      <c r="B353" s="2"/>
      <c r="C353" s="2"/>
      <c r="D353" s="2"/>
      <c r="E353" s="2"/>
      <c r="F353" s="2"/>
      <c r="G353" s="3"/>
      <c r="H353" s="2"/>
      <c r="I353" s="2"/>
      <c r="J353" s="2"/>
    </row>
    <row r="354" spans="1:10" ht="15" thickBot="1" x14ac:dyDescent="0.35">
      <c r="A354" s="1"/>
      <c r="B354" s="2"/>
      <c r="C354" s="2"/>
      <c r="D354" s="2"/>
      <c r="E354" s="2"/>
      <c r="F354" s="2"/>
      <c r="G354" s="3"/>
      <c r="H354" s="2"/>
      <c r="I354" s="2"/>
      <c r="J354" s="2"/>
    </row>
    <row r="355" spans="1:10" ht="15" thickBot="1" x14ac:dyDescent="0.35">
      <c r="A355" s="1"/>
      <c r="B355" s="2"/>
      <c r="C355" s="2"/>
      <c r="D355" s="2"/>
      <c r="E355" s="2"/>
      <c r="F355" s="2"/>
      <c r="G355" s="3"/>
      <c r="H355" s="2"/>
      <c r="I355" s="2"/>
      <c r="J355" s="2"/>
    </row>
    <row r="356" spans="1:10" ht="15" thickBot="1" x14ac:dyDescent="0.35">
      <c r="A356" s="1"/>
      <c r="B356" s="2"/>
      <c r="C356" s="2"/>
      <c r="D356" s="2"/>
      <c r="E356" s="2"/>
      <c r="F356" s="2"/>
      <c r="G356" s="3"/>
      <c r="H356" s="2"/>
      <c r="I356" s="2"/>
      <c r="J356" s="2"/>
    </row>
    <row r="357" spans="1:10" ht="15" thickBot="1" x14ac:dyDescent="0.35">
      <c r="A357" s="1"/>
      <c r="B357" s="2"/>
      <c r="C357" s="2"/>
      <c r="D357" s="2"/>
      <c r="E357" s="2"/>
      <c r="F357" s="2"/>
      <c r="G357" s="3"/>
      <c r="H357" s="2"/>
      <c r="I357" s="2"/>
      <c r="J357" s="2"/>
    </row>
    <row r="358" spans="1:10" ht="15" thickBot="1" x14ac:dyDescent="0.35">
      <c r="A358" s="1"/>
      <c r="B358" s="2"/>
      <c r="C358" s="2"/>
      <c r="D358" s="2"/>
      <c r="E358" s="2"/>
      <c r="F358" s="2"/>
      <c r="G358" s="3"/>
      <c r="H358" s="2"/>
      <c r="I358" s="2"/>
      <c r="J358" s="2"/>
    </row>
    <row r="359" spans="1:10" ht="15" thickBot="1" x14ac:dyDescent="0.35">
      <c r="A359" s="1"/>
      <c r="B359" s="2"/>
      <c r="C359" s="2"/>
      <c r="D359" s="2"/>
      <c r="E359" s="2"/>
      <c r="F359" s="2"/>
      <c r="G359" s="3"/>
      <c r="H359" s="2"/>
      <c r="I359" s="2"/>
      <c r="J359" s="2"/>
    </row>
    <row r="360" spans="1:10" ht="15" thickBot="1" x14ac:dyDescent="0.35">
      <c r="A360" s="1"/>
      <c r="B360" s="2"/>
      <c r="C360" s="2"/>
      <c r="D360" s="2"/>
      <c r="E360" s="2"/>
      <c r="F360" s="2"/>
      <c r="G360" s="3"/>
      <c r="H360" s="2"/>
      <c r="I360" s="2"/>
      <c r="J360" s="2"/>
    </row>
    <row r="361" spans="1:10" ht="15" thickBot="1" x14ac:dyDescent="0.35">
      <c r="A361" s="1"/>
      <c r="B361" s="2"/>
      <c r="C361" s="2"/>
      <c r="D361" s="2"/>
      <c r="E361" s="2"/>
      <c r="F361" s="2"/>
      <c r="G361" s="3"/>
      <c r="H361" s="2"/>
      <c r="I361" s="2"/>
      <c r="J361" s="2"/>
    </row>
    <row r="362" spans="1:10" ht="15" thickBot="1" x14ac:dyDescent="0.35">
      <c r="A362" s="1"/>
      <c r="B362" s="2"/>
      <c r="C362" s="2"/>
      <c r="D362" s="2"/>
      <c r="E362" s="2"/>
      <c r="F362" s="2"/>
      <c r="G362" s="3"/>
      <c r="H362" s="2"/>
      <c r="I362" s="2"/>
      <c r="J362" s="2"/>
    </row>
    <row r="363" spans="1:10" ht="15" thickBot="1" x14ac:dyDescent="0.35">
      <c r="A363" s="1"/>
      <c r="B363" s="2"/>
      <c r="C363" s="2"/>
      <c r="D363" s="2"/>
      <c r="E363" s="2"/>
      <c r="F363" s="2"/>
      <c r="G363" s="3"/>
      <c r="H363" s="2"/>
      <c r="I363" s="2"/>
      <c r="J363" s="2"/>
    </row>
    <row r="364" spans="1:10" ht="15" thickBot="1" x14ac:dyDescent="0.35">
      <c r="A364" s="1"/>
      <c r="B364" s="2"/>
      <c r="C364" s="2"/>
      <c r="D364" s="2"/>
      <c r="E364" s="2"/>
      <c r="F364" s="2"/>
      <c r="G364" s="3"/>
      <c r="H364" s="2"/>
      <c r="I364" s="2"/>
      <c r="J364" s="2"/>
    </row>
    <row r="365" spans="1:10" ht="15" thickBot="1" x14ac:dyDescent="0.35">
      <c r="A365" s="1"/>
      <c r="B365" s="2"/>
      <c r="C365" s="2"/>
      <c r="D365" s="2"/>
      <c r="E365" s="2"/>
      <c r="F365" s="2"/>
      <c r="G365" s="3"/>
      <c r="H365" s="2"/>
      <c r="I365" s="2"/>
      <c r="J365" s="2"/>
    </row>
    <row r="366" spans="1:10" ht="15" thickBot="1" x14ac:dyDescent="0.35">
      <c r="A366" s="1"/>
      <c r="B366" s="2"/>
      <c r="C366" s="2"/>
      <c r="D366" s="2"/>
      <c r="E366" s="2"/>
      <c r="F366" s="2"/>
      <c r="G366" s="3"/>
      <c r="H366" s="2"/>
      <c r="I366" s="2"/>
      <c r="J366" s="2"/>
    </row>
    <row r="367" spans="1:10" ht="15" thickBot="1" x14ac:dyDescent="0.35">
      <c r="A367" s="1"/>
      <c r="B367" s="2"/>
      <c r="C367" s="2"/>
      <c r="D367" s="2"/>
      <c r="E367" s="2"/>
      <c r="F367" s="2"/>
      <c r="G367" s="3"/>
      <c r="H367" s="2"/>
      <c r="I367" s="2"/>
      <c r="J367" s="2"/>
    </row>
    <row r="368" spans="1:10" ht="15" thickBot="1" x14ac:dyDescent="0.35">
      <c r="A368" s="1"/>
      <c r="B368" s="2"/>
      <c r="C368" s="2"/>
      <c r="D368" s="2"/>
      <c r="E368" s="2"/>
      <c r="F368" s="2"/>
      <c r="G368" s="3"/>
      <c r="H368" s="2"/>
      <c r="I368" s="2"/>
      <c r="J368" s="2"/>
    </row>
    <row r="369" spans="1:10" ht="15" thickBot="1" x14ac:dyDescent="0.35">
      <c r="A369" s="1"/>
      <c r="B369" s="2"/>
      <c r="C369" s="2"/>
      <c r="D369" s="2"/>
      <c r="E369" s="2"/>
      <c r="F369" s="2"/>
      <c r="G369" s="3"/>
      <c r="H369" s="2"/>
      <c r="I369" s="2"/>
      <c r="J369" s="2"/>
    </row>
    <row r="370" spans="1:10" ht="15" thickBot="1" x14ac:dyDescent="0.35">
      <c r="A370" s="1"/>
      <c r="B370" s="2"/>
      <c r="C370" s="2"/>
      <c r="D370" s="2"/>
      <c r="E370" s="2"/>
      <c r="F370" s="2"/>
      <c r="G370" s="3"/>
      <c r="H370" s="2"/>
      <c r="I370" s="2"/>
      <c r="J370" s="2"/>
    </row>
    <row r="371" spans="1:10" ht="15" thickBot="1" x14ac:dyDescent="0.35">
      <c r="A371" s="1"/>
      <c r="B371" s="2"/>
      <c r="C371" s="2"/>
      <c r="D371" s="2"/>
      <c r="E371" s="2"/>
      <c r="F371" s="2"/>
      <c r="G371" s="3"/>
      <c r="H371" s="2"/>
      <c r="I371" s="2"/>
      <c r="J371" s="2"/>
    </row>
    <row r="372" spans="1:10" ht="15" thickBot="1" x14ac:dyDescent="0.35">
      <c r="A372" s="1"/>
      <c r="B372" s="2"/>
      <c r="C372" s="2"/>
      <c r="D372" s="2"/>
      <c r="E372" s="2"/>
      <c r="F372" s="2"/>
      <c r="G372" s="3"/>
      <c r="H372" s="2"/>
      <c r="I372" s="2"/>
      <c r="J372" s="2"/>
    </row>
    <row r="373" spans="1:10" ht="15" thickBot="1" x14ac:dyDescent="0.35">
      <c r="A373" s="1"/>
      <c r="B373" s="2"/>
      <c r="C373" s="2"/>
      <c r="D373" s="2"/>
      <c r="E373" s="2"/>
      <c r="F373" s="2"/>
      <c r="G373" s="3"/>
      <c r="H373" s="2"/>
      <c r="I373" s="2"/>
      <c r="J373" s="2"/>
    </row>
    <row r="374" spans="1:10" ht="15" thickBot="1" x14ac:dyDescent="0.35">
      <c r="A374" s="1"/>
      <c r="B374" s="2"/>
      <c r="C374" s="2"/>
      <c r="D374" s="2"/>
      <c r="E374" s="2"/>
      <c r="F374" s="2"/>
      <c r="G374" s="3"/>
      <c r="H374" s="2"/>
      <c r="I374" s="2"/>
      <c r="J374" s="2"/>
    </row>
    <row r="375" spans="1:10" ht="15" thickBot="1" x14ac:dyDescent="0.35">
      <c r="A375" s="1"/>
      <c r="B375" s="2"/>
      <c r="C375" s="2"/>
      <c r="D375" s="2"/>
      <c r="E375" s="2"/>
      <c r="F375" s="2"/>
      <c r="G375" s="3"/>
      <c r="H375" s="2"/>
      <c r="I375" s="2"/>
      <c r="J375" s="2"/>
    </row>
    <row r="376" spans="1:10" ht="15" thickBot="1" x14ac:dyDescent="0.35">
      <c r="A376" s="1"/>
      <c r="B376" s="2"/>
      <c r="C376" s="2"/>
      <c r="D376" s="2"/>
      <c r="E376" s="2"/>
      <c r="F376" s="2"/>
      <c r="G376" s="3"/>
      <c r="H376" s="2"/>
      <c r="I376" s="2"/>
      <c r="J376" s="2"/>
    </row>
    <row r="377" spans="1:10" ht="15" thickBot="1" x14ac:dyDescent="0.35">
      <c r="A377" s="1"/>
      <c r="B377" s="2"/>
      <c r="C377" s="2"/>
      <c r="D377" s="2"/>
      <c r="E377" s="2"/>
      <c r="F377" s="2"/>
      <c r="G377" s="3"/>
      <c r="H377" s="2"/>
      <c r="I377" s="2"/>
      <c r="J377" s="2"/>
    </row>
    <row r="378" spans="1:10" ht="15" thickBot="1" x14ac:dyDescent="0.35">
      <c r="A378" s="1"/>
      <c r="B378" s="2"/>
      <c r="C378" s="2"/>
      <c r="D378" s="2"/>
      <c r="E378" s="2"/>
      <c r="F378" s="2"/>
      <c r="G378" s="3"/>
      <c r="H378" s="2"/>
      <c r="I378" s="2"/>
      <c r="J378" s="2"/>
    </row>
    <row r="379" spans="1:10" ht="15" thickBot="1" x14ac:dyDescent="0.35">
      <c r="A379" s="1"/>
      <c r="B379" s="2"/>
      <c r="C379" s="2"/>
      <c r="D379" s="2"/>
      <c r="E379" s="2"/>
      <c r="F379" s="2"/>
      <c r="G379" s="3"/>
      <c r="H379" s="2"/>
      <c r="I379" s="2"/>
      <c r="J379" s="2"/>
    </row>
    <row r="380" spans="1:10" ht="15" thickBot="1" x14ac:dyDescent="0.35">
      <c r="A380" s="1"/>
      <c r="B380" s="2"/>
      <c r="C380" s="2"/>
      <c r="D380" s="2"/>
      <c r="E380" s="2"/>
      <c r="F380" s="2"/>
      <c r="G380" s="3"/>
      <c r="H380" s="2"/>
      <c r="I380" s="2"/>
      <c r="J380" s="2"/>
    </row>
    <row r="381" spans="1:10" ht="15" thickBot="1" x14ac:dyDescent="0.35">
      <c r="A381" s="1"/>
      <c r="B381" s="2"/>
      <c r="C381" s="2"/>
      <c r="D381" s="2"/>
      <c r="E381" s="2"/>
      <c r="F381" s="2"/>
      <c r="G381" s="3"/>
      <c r="H381" s="2"/>
      <c r="I381" s="2"/>
      <c r="J381" s="2"/>
    </row>
    <row r="382" spans="1:10" ht="15" thickBot="1" x14ac:dyDescent="0.35">
      <c r="A382" s="1"/>
      <c r="B382" s="2"/>
      <c r="C382" s="2"/>
      <c r="D382" s="2"/>
      <c r="E382" s="2"/>
      <c r="F382" s="2"/>
      <c r="G382" s="3"/>
      <c r="H382" s="2"/>
      <c r="I382" s="2"/>
      <c r="J382" s="2"/>
    </row>
    <row r="383" spans="1:10" ht="15" thickBot="1" x14ac:dyDescent="0.35">
      <c r="A383" s="1"/>
      <c r="B383" s="2"/>
      <c r="C383" s="2"/>
      <c r="D383" s="2"/>
      <c r="E383" s="2"/>
      <c r="F383" s="2"/>
      <c r="G383" s="3"/>
      <c r="H383" s="2"/>
      <c r="I383" s="2"/>
      <c r="J383" s="2"/>
    </row>
    <row r="384" spans="1:10" ht="15" thickBot="1" x14ac:dyDescent="0.35">
      <c r="A384" s="1"/>
      <c r="B384" s="2"/>
      <c r="C384" s="2"/>
      <c r="D384" s="2"/>
      <c r="E384" s="2"/>
      <c r="F384" s="2"/>
      <c r="G384" s="3"/>
      <c r="H384" s="2"/>
      <c r="I384" s="2"/>
      <c r="J384" s="2"/>
    </row>
    <row r="385" spans="1:10" ht="15" thickBot="1" x14ac:dyDescent="0.35">
      <c r="A385" s="1"/>
      <c r="B385" s="2"/>
      <c r="C385" s="2"/>
      <c r="D385" s="2"/>
      <c r="E385" s="2"/>
      <c r="F385" s="2"/>
      <c r="G385" s="3"/>
      <c r="H385" s="2"/>
      <c r="I385" s="2"/>
      <c r="J385" s="2"/>
    </row>
    <row r="386" spans="1:10" ht="15" thickBot="1" x14ac:dyDescent="0.35">
      <c r="A386" s="1"/>
      <c r="B386" s="2"/>
      <c r="C386" s="2"/>
      <c r="D386" s="2"/>
      <c r="E386" s="2"/>
      <c r="F386" s="2"/>
      <c r="G386" s="3"/>
      <c r="H386" s="2"/>
      <c r="I386" s="2"/>
      <c r="J386" s="2"/>
    </row>
    <row r="387" spans="1:10" ht="15" thickBot="1" x14ac:dyDescent="0.35">
      <c r="A387" s="1"/>
      <c r="B387" s="2"/>
      <c r="C387" s="2"/>
      <c r="D387" s="2"/>
      <c r="E387" s="2"/>
      <c r="F387" s="2"/>
      <c r="G387" s="3"/>
      <c r="H387" s="2"/>
      <c r="I387" s="2"/>
      <c r="J387" s="2"/>
    </row>
    <row r="388" spans="1:10" ht="15" thickBot="1" x14ac:dyDescent="0.35">
      <c r="A388" s="1"/>
      <c r="B388" s="2"/>
      <c r="C388" s="2"/>
      <c r="D388" s="2"/>
      <c r="E388" s="2"/>
      <c r="F388" s="2"/>
      <c r="G388" s="3"/>
      <c r="H388" s="2"/>
      <c r="I388" s="2"/>
      <c r="J388" s="2"/>
    </row>
    <row r="389" spans="1:10" ht="15" thickBot="1" x14ac:dyDescent="0.35">
      <c r="A389" s="1"/>
      <c r="B389" s="2"/>
      <c r="C389" s="2"/>
      <c r="D389" s="2"/>
      <c r="E389" s="2"/>
      <c r="F389" s="2"/>
      <c r="G389" s="3"/>
      <c r="H389" s="2"/>
      <c r="I389" s="2"/>
      <c r="J389" s="2"/>
    </row>
    <row r="390" spans="1:10" ht="15" thickBot="1" x14ac:dyDescent="0.35">
      <c r="A390" s="1"/>
      <c r="B390" s="2"/>
      <c r="C390" s="2"/>
      <c r="D390" s="2"/>
      <c r="E390" s="2"/>
      <c r="F390" s="2"/>
      <c r="G390" s="3"/>
      <c r="H390" s="2"/>
      <c r="I390" s="2"/>
      <c r="J390" s="2"/>
    </row>
    <row r="391" spans="1:10" ht="15" thickBot="1" x14ac:dyDescent="0.35">
      <c r="A391" s="1"/>
      <c r="B391" s="2"/>
      <c r="C391" s="2"/>
      <c r="D391" s="2"/>
      <c r="E391" s="2"/>
      <c r="F391" s="2"/>
      <c r="G391" s="3"/>
      <c r="H391" s="2"/>
      <c r="I391" s="2"/>
      <c r="J391" s="2"/>
    </row>
    <row r="392" spans="1:10" ht="15" thickBot="1" x14ac:dyDescent="0.35">
      <c r="A392" s="1"/>
      <c r="B392" s="2"/>
      <c r="C392" s="2"/>
      <c r="D392" s="2"/>
      <c r="E392" s="2"/>
      <c r="F392" s="2"/>
      <c r="G392" s="3"/>
      <c r="H392" s="2"/>
      <c r="I392" s="2"/>
      <c r="J392" s="2"/>
    </row>
    <row r="393" spans="1:10" ht="15" thickBot="1" x14ac:dyDescent="0.35">
      <c r="A393" s="1"/>
      <c r="B393" s="2"/>
      <c r="C393" s="2"/>
      <c r="D393" s="2"/>
      <c r="E393" s="2"/>
      <c r="F393" s="2"/>
      <c r="G393" s="3"/>
      <c r="H393" s="2"/>
      <c r="I393" s="2"/>
      <c r="J393" s="2"/>
    </row>
    <row r="394" spans="1:10" ht="15" thickBot="1" x14ac:dyDescent="0.35">
      <c r="A394" s="1"/>
      <c r="B394" s="2"/>
      <c r="C394" s="2"/>
      <c r="D394" s="2"/>
      <c r="E394" s="2"/>
      <c r="F394" s="2"/>
      <c r="G394" s="3"/>
      <c r="H394" s="2"/>
      <c r="I394" s="2"/>
      <c r="J394" s="2"/>
    </row>
    <row r="395" spans="1:10" ht="15" thickBot="1" x14ac:dyDescent="0.35">
      <c r="A395" s="1"/>
      <c r="B395" s="2"/>
      <c r="C395" s="2"/>
      <c r="D395" s="2"/>
      <c r="E395" s="2"/>
      <c r="F395" s="2"/>
      <c r="G395" s="3"/>
      <c r="H395" s="2"/>
      <c r="I395" s="2"/>
      <c r="J395" s="2"/>
    </row>
    <row r="396" spans="1:10" ht="15" thickBot="1" x14ac:dyDescent="0.35">
      <c r="A396" s="1"/>
      <c r="B396" s="2"/>
      <c r="C396" s="2"/>
      <c r="D396" s="2"/>
      <c r="E396" s="2"/>
      <c r="F396" s="2"/>
      <c r="G396" s="3"/>
      <c r="H396" s="2"/>
      <c r="I396" s="2"/>
      <c r="J396" s="2"/>
    </row>
    <row r="397" spans="1:10" ht="15" thickBot="1" x14ac:dyDescent="0.35">
      <c r="A397" s="1"/>
      <c r="B397" s="2"/>
      <c r="C397" s="2"/>
      <c r="D397" s="2"/>
      <c r="E397" s="2"/>
      <c r="F397" s="2"/>
      <c r="G397" s="3"/>
      <c r="H397" s="2"/>
      <c r="I397" s="2"/>
      <c r="J397" s="2"/>
    </row>
    <row r="398" spans="1:10" ht="15" thickBot="1" x14ac:dyDescent="0.35">
      <c r="A398" s="1"/>
      <c r="B398" s="2"/>
      <c r="C398" s="2"/>
      <c r="D398" s="2"/>
      <c r="E398" s="2"/>
      <c r="F398" s="2"/>
      <c r="G398" s="3"/>
      <c r="H398" s="2"/>
      <c r="I398" s="2"/>
      <c r="J398" s="2"/>
    </row>
    <row r="399" spans="1:10" ht="15" thickBot="1" x14ac:dyDescent="0.35">
      <c r="A399" s="1"/>
      <c r="B399" s="2"/>
      <c r="C399" s="2"/>
      <c r="D399" s="2"/>
      <c r="E399" s="2"/>
      <c r="F399" s="2"/>
      <c r="G399" s="3"/>
      <c r="H399" s="2"/>
      <c r="I399" s="2"/>
      <c r="J399" s="2"/>
    </row>
    <row r="400" spans="1:10" ht="15" thickBot="1" x14ac:dyDescent="0.35">
      <c r="A400" s="1"/>
      <c r="B400" s="2"/>
      <c r="C400" s="2"/>
      <c r="D400" s="2"/>
      <c r="E400" s="2"/>
      <c r="F400" s="2"/>
      <c r="G400" s="3"/>
      <c r="H400" s="2"/>
      <c r="I400" s="2"/>
      <c r="J400" s="2"/>
    </row>
    <row r="401" spans="1:10" ht="15" thickBot="1" x14ac:dyDescent="0.35">
      <c r="A401" s="1"/>
      <c r="B401" s="2"/>
      <c r="C401" s="2"/>
      <c r="D401" s="2"/>
      <c r="E401" s="2"/>
      <c r="F401" s="2"/>
      <c r="G401" s="3"/>
      <c r="H401" s="2"/>
      <c r="I401" s="2"/>
      <c r="J401" s="2"/>
    </row>
    <row r="402" spans="1:10" ht="15" thickBot="1" x14ac:dyDescent="0.35">
      <c r="A402" s="1"/>
      <c r="B402" s="2"/>
      <c r="C402" s="2"/>
      <c r="D402" s="2"/>
      <c r="E402" s="2"/>
      <c r="F402" s="2"/>
      <c r="G402" s="3"/>
      <c r="H402" s="2"/>
      <c r="I402" s="2"/>
      <c r="J402" s="2"/>
    </row>
    <row r="403" spans="1:10" ht="15" thickBot="1" x14ac:dyDescent="0.35">
      <c r="A403" s="1"/>
      <c r="B403" s="2"/>
      <c r="C403" s="2"/>
      <c r="D403" s="2"/>
      <c r="E403" s="2"/>
      <c r="F403" s="2"/>
      <c r="G403" s="3"/>
      <c r="H403" s="2"/>
      <c r="I403" s="2"/>
      <c r="J403" s="2"/>
    </row>
    <row r="404" spans="1:10" ht="15" thickBot="1" x14ac:dyDescent="0.35">
      <c r="A404" s="1"/>
      <c r="B404" s="2"/>
      <c r="C404" s="2"/>
      <c r="D404" s="2"/>
      <c r="E404" s="2"/>
      <c r="F404" s="2"/>
      <c r="G404" s="3"/>
      <c r="H404" s="2"/>
      <c r="I404" s="2"/>
      <c r="J404" s="2"/>
    </row>
    <row r="405" spans="1:10" ht="15" thickBot="1" x14ac:dyDescent="0.35">
      <c r="A405" s="1"/>
      <c r="B405" s="2"/>
      <c r="C405" s="2"/>
      <c r="D405" s="2"/>
      <c r="E405" s="2"/>
      <c r="F405" s="2"/>
      <c r="G405" s="3"/>
      <c r="H405" s="2"/>
      <c r="I405" s="2"/>
      <c r="J405" s="2"/>
    </row>
    <row r="406" spans="1:10" ht="15" thickBot="1" x14ac:dyDescent="0.35">
      <c r="A406" s="1"/>
      <c r="B406" s="2"/>
      <c r="C406" s="2"/>
      <c r="D406" s="2"/>
      <c r="E406" s="2"/>
      <c r="F406" s="2"/>
      <c r="G406" s="3"/>
      <c r="H406" s="2"/>
      <c r="I406" s="2"/>
      <c r="J406" s="2"/>
    </row>
    <row r="407" spans="1:10" ht="15" thickBot="1" x14ac:dyDescent="0.35">
      <c r="A407" s="1"/>
      <c r="B407" s="2"/>
      <c r="C407" s="2"/>
      <c r="D407" s="2"/>
      <c r="E407" s="2"/>
      <c r="F407" s="2"/>
      <c r="G407" s="3"/>
      <c r="H407" s="2"/>
      <c r="I407" s="2"/>
      <c r="J407" s="2"/>
    </row>
    <row r="408" spans="1:10" ht="15" thickBot="1" x14ac:dyDescent="0.35">
      <c r="A408" s="1"/>
      <c r="B408" s="2"/>
      <c r="C408" s="2"/>
      <c r="D408" s="2"/>
      <c r="E408" s="2"/>
      <c r="F408" s="2"/>
      <c r="G408" s="3"/>
      <c r="H408" s="2"/>
      <c r="I408" s="2"/>
      <c r="J408" s="2"/>
    </row>
    <row r="409" spans="1:10" ht="15" thickBot="1" x14ac:dyDescent="0.35">
      <c r="A409" s="1"/>
      <c r="B409" s="2"/>
      <c r="C409" s="2"/>
      <c r="D409" s="2"/>
      <c r="E409" s="2"/>
      <c r="F409" s="2"/>
      <c r="G409" s="3"/>
      <c r="H409" s="2"/>
      <c r="I409" s="2"/>
      <c r="J409" s="2"/>
    </row>
    <row r="410" spans="1:10" ht="15" thickBot="1" x14ac:dyDescent="0.35">
      <c r="A410" s="1"/>
      <c r="B410" s="2"/>
      <c r="C410" s="2"/>
      <c r="D410" s="2"/>
      <c r="E410" s="2"/>
      <c r="F410" s="2"/>
      <c r="G410" s="3"/>
      <c r="H410" s="2"/>
      <c r="I410" s="2"/>
      <c r="J410" s="2"/>
    </row>
    <row r="411" spans="1:10" ht="15" thickBot="1" x14ac:dyDescent="0.35">
      <c r="A411" s="1"/>
      <c r="B411" s="2"/>
      <c r="C411" s="2"/>
      <c r="D411" s="2"/>
      <c r="E411" s="2"/>
      <c r="F411" s="2"/>
      <c r="G411" s="3"/>
      <c r="H411" s="2"/>
      <c r="I411" s="2"/>
      <c r="J411" s="2"/>
    </row>
    <row r="412" spans="1:10" ht="15" thickBot="1" x14ac:dyDescent="0.35">
      <c r="A412" s="1"/>
      <c r="B412" s="2"/>
      <c r="C412" s="2"/>
      <c r="D412" s="2"/>
      <c r="E412" s="2"/>
      <c r="F412" s="2"/>
      <c r="G412" s="3"/>
      <c r="H412" s="2"/>
      <c r="I412" s="2"/>
      <c r="J412" s="2"/>
    </row>
    <row r="413" spans="1:10" ht="15" thickBot="1" x14ac:dyDescent="0.35">
      <c r="A413" s="1"/>
      <c r="B413" s="2"/>
      <c r="C413" s="2"/>
      <c r="D413" s="2"/>
      <c r="E413" s="2"/>
      <c r="F413" s="2"/>
      <c r="G413" s="3"/>
      <c r="H413" s="2"/>
      <c r="I413" s="2"/>
      <c r="J413" s="2"/>
    </row>
    <row r="414" spans="1:10" ht="15" thickBot="1" x14ac:dyDescent="0.35">
      <c r="A414" s="1"/>
      <c r="B414" s="2"/>
      <c r="C414" s="2"/>
      <c r="D414" s="2"/>
      <c r="E414" s="2"/>
      <c r="F414" s="2"/>
      <c r="G414" s="3"/>
      <c r="H414" s="2"/>
      <c r="I414" s="2"/>
      <c r="J414" s="2"/>
    </row>
    <row r="415" spans="1:10" ht="15" thickBot="1" x14ac:dyDescent="0.35">
      <c r="A415" s="1"/>
      <c r="B415" s="2"/>
      <c r="C415" s="2"/>
      <c r="D415" s="2"/>
      <c r="E415" s="2"/>
      <c r="F415" s="2"/>
      <c r="G415" s="3"/>
      <c r="H415" s="2"/>
      <c r="I415" s="2"/>
      <c r="J415" s="2"/>
    </row>
    <row r="416" spans="1:10" ht="15" thickBot="1" x14ac:dyDescent="0.35">
      <c r="A416" s="1"/>
      <c r="B416" s="2"/>
      <c r="C416" s="2"/>
      <c r="D416" s="2"/>
      <c r="E416" s="2"/>
      <c r="F416" s="2"/>
      <c r="G416" s="3"/>
      <c r="H416" s="2"/>
      <c r="I416" s="2"/>
      <c r="J416" s="2"/>
    </row>
    <row r="417" spans="1:10" ht="15" thickBot="1" x14ac:dyDescent="0.35">
      <c r="A417" s="1"/>
      <c r="B417" s="2"/>
      <c r="C417" s="2"/>
      <c r="D417" s="2"/>
      <c r="E417" s="2"/>
      <c r="F417" s="2"/>
      <c r="G417" s="3"/>
      <c r="H417" s="2"/>
      <c r="I417" s="2"/>
      <c r="J417" s="2"/>
    </row>
    <row r="418" spans="1:10" ht="15" thickBot="1" x14ac:dyDescent="0.35">
      <c r="A418" s="1"/>
      <c r="B418" s="2"/>
      <c r="C418" s="2"/>
      <c r="D418" s="2"/>
      <c r="E418" s="2"/>
      <c r="F418" s="2"/>
      <c r="G418" s="3"/>
      <c r="H418" s="2"/>
      <c r="I418" s="2"/>
      <c r="J418" s="2"/>
    </row>
    <row r="419" spans="1:10" ht="15" thickBot="1" x14ac:dyDescent="0.35">
      <c r="A419" s="1"/>
      <c r="B419" s="2"/>
      <c r="C419" s="2"/>
      <c r="D419" s="2"/>
      <c r="E419" s="2"/>
      <c r="F419" s="2"/>
      <c r="G419" s="3"/>
      <c r="H419" s="2"/>
      <c r="I419" s="2"/>
      <c r="J419" s="2"/>
    </row>
    <row r="420" spans="1:10" ht="15" thickBot="1" x14ac:dyDescent="0.35">
      <c r="A420" s="1"/>
      <c r="B420" s="2"/>
      <c r="C420" s="2"/>
      <c r="D420" s="2"/>
      <c r="E420" s="2"/>
      <c r="F420" s="2"/>
      <c r="G420" s="3"/>
      <c r="H420" s="2"/>
      <c r="I420" s="2"/>
      <c r="J420" s="2"/>
    </row>
    <row r="421" spans="1:10" ht="15" thickBot="1" x14ac:dyDescent="0.35">
      <c r="A421" s="1"/>
      <c r="B421" s="2"/>
      <c r="C421" s="2"/>
      <c r="D421" s="2"/>
      <c r="E421" s="2"/>
      <c r="F421" s="2"/>
      <c r="G421" s="3"/>
      <c r="H421" s="2"/>
      <c r="I421" s="2"/>
      <c r="J421" s="2"/>
    </row>
    <row r="422" spans="1:10" ht="15" thickBot="1" x14ac:dyDescent="0.35">
      <c r="A422" s="1"/>
      <c r="B422" s="2"/>
      <c r="C422" s="2"/>
      <c r="D422" s="2"/>
      <c r="E422" s="2"/>
      <c r="F422" s="2"/>
      <c r="G422" s="3"/>
      <c r="H422" s="2"/>
      <c r="I422" s="2"/>
      <c r="J422" s="2"/>
    </row>
    <row r="423" spans="1:10" ht="15" thickBot="1" x14ac:dyDescent="0.35">
      <c r="A423" s="1"/>
      <c r="B423" s="2"/>
      <c r="C423" s="2"/>
      <c r="D423" s="2"/>
      <c r="E423" s="2"/>
      <c r="F423" s="2"/>
      <c r="G423" s="3"/>
      <c r="H423" s="2"/>
      <c r="I423" s="2"/>
      <c r="J423" s="2"/>
    </row>
    <row r="424" spans="1:10" ht="15" thickBot="1" x14ac:dyDescent="0.35">
      <c r="A424" s="1"/>
      <c r="B424" s="2"/>
      <c r="C424" s="2"/>
      <c r="D424" s="2"/>
      <c r="E424" s="2"/>
      <c r="F424" s="2"/>
      <c r="G424" s="3"/>
      <c r="H424" s="2"/>
      <c r="I424" s="2"/>
      <c r="J424" s="2"/>
    </row>
    <row r="425" spans="1:10" ht="15" thickBot="1" x14ac:dyDescent="0.35">
      <c r="A425" s="1"/>
      <c r="B425" s="2"/>
      <c r="C425" s="2"/>
      <c r="D425" s="2"/>
      <c r="E425" s="2"/>
      <c r="F425" s="2"/>
      <c r="G425" s="3"/>
      <c r="H425" s="2"/>
      <c r="I425" s="2"/>
      <c r="J425" s="2"/>
    </row>
    <row r="426" spans="1:10" ht="15" thickBot="1" x14ac:dyDescent="0.35">
      <c r="A426" s="1"/>
      <c r="B426" s="2"/>
      <c r="C426" s="2"/>
      <c r="D426" s="2"/>
      <c r="E426" s="2"/>
      <c r="F426" s="2"/>
      <c r="G426" s="3"/>
      <c r="H426" s="2"/>
      <c r="I426" s="2"/>
      <c r="J426" s="2"/>
    </row>
    <row r="427" spans="1:10" ht="15" thickBot="1" x14ac:dyDescent="0.35">
      <c r="A427" s="1"/>
      <c r="B427" s="2"/>
      <c r="C427" s="2"/>
      <c r="D427" s="2"/>
      <c r="E427" s="2"/>
      <c r="F427" s="2"/>
      <c r="G427" s="3"/>
      <c r="H427" s="2"/>
      <c r="I427" s="2"/>
      <c r="J427" s="2"/>
    </row>
    <row r="428" spans="1:10" ht="15" thickBot="1" x14ac:dyDescent="0.35">
      <c r="A428" s="1"/>
      <c r="B428" s="2"/>
      <c r="C428" s="2"/>
      <c r="D428" s="2"/>
      <c r="E428" s="2"/>
      <c r="F428" s="2"/>
      <c r="G428" s="3"/>
      <c r="H428" s="2"/>
      <c r="I428" s="2"/>
      <c r="J428" s="2"/>
    </row>
    <row r="429" spans="1:10" ht="15" thickBot="1" x14ac:dyDescent="0.35">
      <c r="A429" s="1"/>
      <c r="B429" s="2"/>
      <c r="C429" s="2"/>
      <c r="D429" s="2"/>
      <c r="E429" s="2"/>
      <c r="F429" s="2"/>
      <c r="G429" s="3"/>
      <c r="H429" s="2"/>
      <c r="I429" s="2"/>
      <c r="J429" s="2"/>
    </row>
    <row r="430" spans="1:10" ht="15" thickBot="1" x14ac:dyDescent="0.35">
      <c r="A430" s="1"/>
      <c r="B430" s="2"/>
      <c r="C430" s="2"/>
      <c r="D430" s="2"/>
      <c r="E430" s="2"/>
      <c r="F430" s="2"/>
      <c r="G430" s="3"/>
      <c r="H430" s="2"/>
      <c r="I430" s="2"/>
      <c r="J430" s="2"/>
    </row>
    <row r="431" spans="1:10" ht="15" thickBot="1" x14ac:dyDescent="0.35">
      <c r="A431" s="1"/>
      <c r="B431" s="2"/>
      <c r="C431" s="2"/>
      <c r="D431" s="2"/>
      <c r="E431" s="2"/>
      <c r="F431" s="2"/>
      <c r="G431" s="3"/>
      <c r="H431" s="2"/>
      <c r="I431" s="2"/>
      <c r="J431" s="2"/>
    </row>
    <row r="432" spans="1:10" ht="15" thickBot="1" x14ac:dyDescent="0.35">
      <c r="A432" s="1"/>
      <c r="B432" s="2"/>
      <c r="C432" s="2"/>
      <c r="D432" s="2"/>
      <c r="E432" s="2"/>
      <c r="F432" s="2"/>
      <c r="G432" s="3"/>
      <c r="H432" s="2"/>
      <c r="I432" s="2"/>
      <c r="J432" s="2"/>
    </row>
    <row r="433" spans="1:10" ht="15" thickBot="1" x14ac:dyDescent="0.35">
      <c r="A433" s="1"/>
      <c r="B433" s="2"/>
      <c r="C433" s="2"/>
      <c r="D433" s="2"/>
      <c r="E433" s="2"/>
      <c r="F433" s="2"/>
      <c r="G433" s="3"/>
      <c r="H433" s="2"/>
      <c r="I433" s="2"/>
      <c r="J433" s="2"/>
    </row>
    <row r="434" spans="1:10" ht="15" thickBot="1" x14ac:dyDescent="0.35">
      <c r="A434" s="1"/>
      <c r="B434" s="2"/>
      <c r="C434" s="2"/>
      <c r="D434" s="2"/>
      <c r="E434" s="2"/>
      <c r="F434" s="2"/>
      <c r="G434" s="3"/>
      <c r="H434" s="2"/>
      <c r="I434" s="2"/>
      <c r="J434" s="2"/>
    </row>
    <row r="435" spans="1:10" ht="15" thickBot="1" x14ac:dyDescent="0.35">
      <c r="A435" s="1"/>
      <c r="B435" s="2"/>
      <c r="C435" s="2"/>
      <c r="D435" s="2"/>
      <c r="E435" s="2"/>
      <c r="F435" s="2"/>
      <c r="G435" s="3"/>
      <c r="H435" s="2"/>
      <c r="I435" s="2"/>
      <c r="J435" s="2"/>
    </row>
    <row r="436" spans="1:10" ht="15" thickBot="1" x14ac:dyDescent="0.35">
      <c r="A436" s="1"/>
      <c r="B436" s="2"/>
      <c r="C436" s="2"/>
      <c r="D436" s="2"/>
      <c r="E436" s="2"/>
      <c r="F436" s="2"/>
      <c r="G436" s="3"/>
      <c r="H436" s="2"/>
      <c r="I436" s="2"/>
      <c r="J436" s="2"/>
    </row>
    <row r="437" spans="1:10" ht="15" thickBot="1" x14ac:dyDescent="0.35">
      <c r="A437" s="1"/>
      <c r="B437" s="2"/>
      <c r="C437" s="2"/>
      <c r="D437" s="2"/>
      <c r="E437" s="2"/>
      <c r="F437" s="2"/>
      <c r="G437" s="3"/>
      <c r="H437" s="2"/>
      <c r="I437" s="2"/>
      <c r="J437" s="2"/>
    </row>
    <row r="438" spans="1:10" ht="15" thickBot="1" x14ac:dyDescent="0.35">
      <c r="A438" s="1"/>
      <c r="B438" s="2"/>
      <c r="C438" s="2"/>
      <c r="D438" s="2"/>
      <c r="E438" s="2"/>
      <c r="F438" s="2"/>
      <c r="G438" s="3"/>
      <c r="H438" s="2"/>
      <c r="I438" s="2"/>
      <c r="J438" s="2"/>
    </row>
    <row r="439" spans="1:10" ht="15" thickBot="1" x14ac:dyDescent="0.35">
      <c r="A439" s="1"/>
      <c r="B439" s="2"/>
      <c r="C439" s="2"/>
      <c r="D439" s="2"/>
      <c r="E439" s="2"/>
      <c r="F439" s="2"/>
      <c r="G439" s="3"/>
      <c r="H439" s="2"/>
      <c r="I439" s="2"/>
      <c r="J439" s="2"/>
    </row>
    <row r="440" spans="1:10" ht="15" thickBot="1" x14ac:dyDescent="0.35">
      <c r="A440" s="1"/>
      <c r="B440" s="2"/>
      <c r="C440" s="2"/>
      <c r="D440" s="2"/>
      <c r="E440" s="2"/>
      <c r="F440" s="2"/>
      <c r="G440" s="3"/>
      <c r="H440" s="2"/>
      <c r="I440" s="2"/>
      <c r="J440" s="2"/>
    </row>
    <row r="441" spans="1:10" ht="15" thickBot="1" x14ac:dyDescent="0.35">
      <c r="A441" s="1"/>
      <c r="B441" s="2"/>
      <c r="C441" s="2"/>
      <c r="D441" s="2"/>
      <c r="E441" s="2"/>
      <c r="F441" s="2"/>
      <c r="G441" s="3"/>
      <c r="H441" s="2"/>
      <c r="I441" s="2"/>
      <c r="J441" s="2"/>
    </row>
    <row r="442" spans="1:10" ht="15" thickBot="1" x14ac:dyDescent="0.35">
      <c r="A442" s="1"/>
      <c r="B442" s="2"/>
      <c r="C442" s="2"/>
      <c r="D442" s="2"/>
      <c r="E442" s="2"/>
      <c r="F442" s="2"/>
      <c r="G442" s="3"/>
      <c r="H442" s="2"/>
      <c r="I442" s="2"/>
      <c r="J442" s="2"/>
    </row>
    <row r="443" spans="1:10" ht="15" thickBot="1" x14ac:dyDescent="0.35">
      <c r="A443" s="1"/>
      <c r="B443" s="2"/>
      <c r="C443" s="2"/>
      <c r="D443" s="2"/>
      <c r="E443" s="2"/>
      <c r="F443" s="2"/>
      <c r="G443" s="3"/>
      <c r="H443" s="2"/>
      <c r="I443" s="2"/>
      <c r="J443" s="2"/>
    </row>
    <row r="444" spans="1:10" ht="15" thickBot="1" x14ac:dyDescent="0.35">
      <c r="A444" s="1"/>
      <c r="B444" s="2"/>
      <c r="C444" s="2"/>
      <c r="D444" s="2"/>
      <c r="E444" s="2"/>
      <c r="F444" s="2"/>
      <c r="G444" s="3"/>
      <c r="H444" s="2"/>
      <c r="I444" s="2"/>
      <c r="J444" s="2"/>
    </row>
    <row r="445" spans="1:10" ht="15" thickBot="1" x14ac:dyDescent="0.35">
      <c r="A445" s="1"/>
      <c r="B445" s="2"/>
      <c r="C445" s="2"/>
      <c r="D445" s="2"/>
      <c r="E445" s="2"/>
      <c r="F445" s="2"/>
      <c r="G445" s="3"/>
      <c r="H445" s="2"/>
      <c r="I445" s="2"/>
      <c r="J445" s="2"/>
    </row>
    <row r="446" spans="1:10" ht="15" thickBot="1" x14ac:dyDescent="0.35">
      <c r="A446" s="1"/>
      <c r="B446" s="2"/>
      <c r="C446" s="2"/>
      <c r="D446" s="2"/>
      <c r="E446" s="2"/>
      <c r="F446" s="2"/>
      <c r="G446" s="3"/>
      <c r="H446" s="2"/>
      <c r="I446" s="2"/>
      <c r="J446" s="2"/>
    </row>
    <row r="447" spans="1:10" ht="15" thickBot="1" x14ac:dyDescent="0.35">
      <c r="A447" s="1"/>
      <c r="B447" s="2"/>
      <c r="C447" s="2"/>
      <c r="D447" s="2"/>
      <c r="E447" s="2"/>
      <c r="F447" s="2"/>
      <c r="G447" s="3"/>
      <c r="H447" s="2"/>
      <c r="I447" s="2"/>
      <c r="J447" s="2"/>
    </row>
    <row r="448" spans="1:10" ht="15" thickBot="1" x14ac:dyDescent="0.35">
      <c r="A448" s="1"/>
      <c r="B448" s="2"/>
      <c r="C448" s="2"/>
      <c r="D448" s="2"/>
      <c r="E448" s="2"/>
      <c r="F448" s="2"/>
      <c r="G448" s="3"/>
      <c r="H448" s="2"/>
      <c r="I448" s="2"/>
      <c r="J448" s="2"/>
    </row>
    <row r="449" spans="1:10" ht="15" thickBot="1" x14ac:dyDescent="0.35">
      <c r="A449" s="1"/>
      <c r="B449" s="2"/>
      <c r="C449" s="2"/>
      <c r="D449" s="2"/>
      <c r="E449" s="2"/>
      <c r="F449" s="2"/>
      <c r="G449" s="3"/>
      <c r="H449" s="2"/>
      <c r="I449" s="2"/>
      <c r="J449" s="2"/>
    </row>
    <row r="450" spans="1:10" ht="15" thickBot="1" x14ac:dyDescent="0.35">
      <c r="A450" s="1"/>
      <c r="B450" s="2"/>
      <c r="C450" s="2"/>
      <c r="D450" s="2"/>
      <c r="E450" s="2"/>
      <c r="F450" s="2"/>
      <c r="G450" s="3"/>
      <c r="H450" s="2"/>
      <c r="I450" s="2"/>
      <c r="J450" s="2"/>
    </row>
    <row r="451" spans="1:10" ht="15" thickBot="1" x14ac:dyDescent="0.35">
      <c r="A451" s="1"/>
      <c r="B451" s="2"/>
      <c r="C451" s="2"/>
      <c r="D451" s="2"/>
      <c r="E451" s="2"/>
      <c r="F451" s="2"/>
      <c r="G451" s="3"/>
      <c r="H451" s="2"/>
      <c r="I451" s="2"/>
      <c r="J451" s="2"/>
    </row>
    <row r="452" spans="1:10" ht="15" thickBot="1" x14ac:dyDescent="0.35">
      <c r="A452" s="1"/>
      <c r="B452" s="2"/>
      <c r="C452" s="2"/>
      <c r="D452" s="2"/>
      <c r="E452" s="2"/>
      <c r="F452" s="2"/>
      <c r="G452" s="3"/>
      <c r="H452" s="2"/>
      <c r="I452" s="2"/>
      <c r="J452" s="2"/>
    </row>
    <row r="453" spans="1:10" ht="15" thickBot="1" x14ac:dyDescent="0.35">
      <c r="A453" s="1"/>
      <c r="B453" s="2"/>
      <c r="C453" s="2"/>
      <c r="D453" s="2"/>
      <c r="E453" s="2"/>
      <c r="F453" s="2"/>
      <c r="G453" s="3"/>
      <c r="H453" s="2"/>
      <c r="I453" s="2"/>
      <c r="J453" s="2"/>
    </row>
    <row r="454" spans="1:10" ht="15" thickBot="1" x14ac:dyDescent="0.35">
      <c r="A454" s="1"/>
      <c r="B454" s="2"/>
      <c r="C454" s="2"/>
      <c r="D454" s="2"/>
      <c r="E454" s="2"/>
      <c r="F454" s="2"/>
      <c r="G454" s="3"/>
      <c r="H454" s="2"/>
      <c r="I454" s="2"/>
      <c r="J454" s="2"/>
    </row>
    <row r="455" spans="1:10" ht="15" thickBot="1" x14ac:dyDescent="0.35">
      <c r="A455" s="1"/>
      <c r="B455" s="2"/>
      <c r="C455" s="2"/>
      <c r="D455" s="2"/>
      <c r="E455" s="2"/>
      <c r="F455" s="2"/>
      <c r="G455" s="3"/>
      <c r="H455" s="2"/>
      <c r="I455" s="2"/>
      <c r="J455" s="2"/>
    </row>
    <row r="456" spans="1:10" ht="15" thickBot="1" x14ac:dyDescent="0.35">
      <c r="A456" s="1"/>
      <c r="B456" s="2"/>
      <c r="C456" s="2"/>
      <c r="D456" s="2"/>
      <c r="E456" s="2"/>
      <c r="F456" s="2"/>
      <c r="G456" s="3"/>
      <c r="H456" s="2"/>
      <c r="I456" s="2"/>
      <c r="J456" s="2"/>
    </row>
    <row r="457" spans="1:10" ht="15" thickBot="1" x14ac:dyDescent="0.35">
      <c r="A457" s="1"/>
      <c r="B457" s="2"/>
      <c r="C457" s="2"/>
      <c r="D457" s="2"/>
      <c r="E457" s="2"/>
      <c r="F457" s="2"/>
      <c r="G457" s="3"/>
      <c r="H457" s="2"/>
      <c r="I457" s="2"/>
      <c r="J457" s="2"/>
    </row>
    <row r="458" spans="1:10" ht="15" thickBot="1" x14ac:dyDescent="0.35">
      <c r="A458" s="1"/>
      <c r="B458" s="2"/>
      <c r="C458" s="2"/>
      <c r="D458" s="2"/>
      <c r="E458" s="2"/>
      <c r="F458" s="2"/>
      <c r="G458" s="3"/>
      <c r="H458" s="2"/>
      <c r="I458" s="2"/>
      <c r="J458" s="2"/>
    </row>
    <row r="459" spans="1:10" ht="15" thickBot="1" x14ac:dyDescent="0.35">
      <c r="A459" s="1"/>
      <c r="B459" s="2"/>
      <c r="C459" s="2"/>
      <c r="D459" s="2"/>
      <c r="E459" s="2"/>
      <c r="F459" s="2"/>
      <c r="G459" s="3"/>
      <c r="H459" s="2"/>
      <c r="I459" s="2"/>
      <c r="J459" s="2"/>
    </row>
    <row r="460" spans="1:10" ht="15" thickBot="1" x14ac:dyDescent="0.35">
      <c r="A460" s="1"/>
      <c r="B460" s="2"/>
      <c r="C460" s="2"/>
      <c r="D460" s="2"/>
      <c r="E460" s="2"/>
      <c r="F460" s="2"/>
      <c r="G460" s="3"/>
      <c r="H460" s="2"/>
      <c r="I460" s="2"/>
      <c r="J460" s="2"/>
    </row>
    <row r="461" spans="1:10" ht="15" thickBot="1" x14ac:dyDescent="0.35">
      <c r="A461" s="1"/>
      <c r="B461" s="2"/>
      <c r="C461" s="2"/>
      <c r="D461" s="2"/>
      <c r="E461" s="2"/>
      <c r="F461" s="2"/>
      <c r="G461" s="3"/>
      <c r="H461" s="2"/>
      <c r="I461" s="2"/>
      <c r="J461" s="2"/>
    </row>
    <row r="462" spans="1:10" ht="15" thickBot="1" x14ac:dyDescent="0.35">
      <c r="A462" s="1"/>
      <c r="B462" s="2"/>
      <c r="C462" s="2"/>
      <c r="D462" s="2"/>
      <c r="E462" s="2"/>
      <c r="F462" s="2"/>
      <c r="G462" s="3"/>
      <c r="H462" s="2"/>
      <c r="I462" s="2"/>
      <c r="J462" s="2"/>
    </row>
    <row r="463" spans="1:10" ht="15" thickBot="1" x14ac:dyDescent="0.35">
      <c r="A463" s="1"/>
      <c r="B463" s="2"/>
      <c r="C463" s="2"/>
      <c r="D463" s="2"/>
      <c r="E463" s="2"/>
      <c r="F463" s="2"/>
      <c r="G463" s="3"/>
      <c r="H463" s="2"/>
      <c r="I463" s="2"/>
      <c r="J463" s="2"/>
    </row>
    <row r="464" spans="1:10" ht="15" thickBot="1" x14ac:dyDescent="0.35">
      <c r="A464" s="1"/>
      <c r="B464" s="2"/>
      <c r="C464" s="2"/>
      <c r="D464" s="2"/>
      <c r="E464" s="2"/>
      <c r="F464" s="2"/>
      <c r="G464" s="3"/>
      <c r="H464" s="2"/>
      <c r="I464" s="2"/>
      <c r="J464" s="2"/>
    </row>
    <row r="465" spans="1:10" ht="15" thickBot="1" x14ac:dyDescent="0.35">
      <c r="A465" s="1"/>
      <c r="B465" s="2"/>
      <c r="C465" s="2"/>
      <c r="D465" s="2"/>
      <c r="E465" s="2"/>
      <c r="F465" s="2"/>
      <c r="G465" s="3"/>
      <c r="H465" s="2"/>
      <c r="I465" s="2"/>
      <c r="J465" s="2"/>
    </row>
    <row r="466" spans="1:10" ht="15" thickBot="1" x14ac:dyDescent="0.35">
      <c r="A466" s="1"/>
      <c r="B466" s="2"/>
      <c r="C466" s="2"/>
      <c r="D466" s="2"/>
      <c r="E466" s="2"/>
      <c r="F466" s="2"/>
      <c r="G466" s="3"/>
      <c r="H466" s="2"/>
      <c r="I466" s="2"/>
      <c r="J466" s="2"/>
    </row>
    <row r="467" spans="1:10" ht="15" thickBot="1" x14ac:dyDescent="0.35">
      <c r="A467" s="1"/>
      <c r="B467" s="2"/>
      <c r="C467" s="2"/>
      <c r="D467" s="2"/>
      <c r="E467" s="2"/>
      <c r="F467" s="2"/>
      <c r="G467" s="3"/>
      <c r="H467" s="2"/>
      <c r="I467" s="2"/>
      <c r="J467" s="2"/>
    </row>
    <row r="468" spans="1:10" ht="15" thickBot="1" x14ac:dyDescent="0.35">
      <c r="A468" s="1"/>
      <c r="B468" s="2"/>
      <c r="C468" s="2"/>
      <c r="D468" s="2"/>
      <c r="E468" s="2"/>
      <c r="F468" s="2"/>
      <c r="G468" s="3"/>
      <c r="H468" s="2"/>
      <c r="I468" s="2"/>
      <c r="J468" s="2"/>
    </row>
    <row r="469" spans="1:10" ht="15" thickBot="1" x14ac:dyDescent="0.35">
      <c r="A469" s="1"/>
      <c r="B469" s="2"/>
      <c r="C469" s="2"/>
      <c r="D469" s="2"/>
      <c r="E469" s="2"/>
      <c r="F469" s="2"/>
      <c r="G469" s="3"/>
      <c r="H469" s="2"/>
      <c r="I469" s="2"/>
      <c r="J469" s="2"/>
    </row>
    <row r="470" spans="1:10" ht="15" thickBot="1" x14ac:dyDescent="0.35">
      <c r="A470" s="1"/>
      <c r="B470" s="2"/>
      <c r="C470" s="2"/>
      <c r="D470" s="2"/>
      <c r="E470" s="2"/>
      <c r="F470" s="2"/>
      <c r="G470" s="3"/>
      <c r="H470" s="2"/>
      <c r="I470" s="2"/>
      <c r="J470" s="2"/>
    </row>
    <row r="471" spans="1:10" ht="15" thickBot="1" x14ac:dyDescent="0.35">
      <c r="A471" s="1"/>
      <c r="B471" s="2"/>
      <c r="C471" s="2"/>
      <c r="D471" s="2"/>
      <c r="E471" s="2"/>
      <c r="F471" s="2"/>
      <c r="G471" s="3"/>
      <c r="H471" s="2"/>
      <c r="I471" s="2"/>
      <c r="J471" s="2"/>
    </row>
    <row r="472" spans="1:10" ht="15" thickBot="1" x14ac:dyDescent="0.35">
      <c r="A472" s="1"/>
      <c r="B472" s="2"/>
      <c r="C472" s="2"/>
      <c r="D472" s="2"/>
      <c r="E472" s="2"/>
      <c r="F472" s="2"/>
      <c r="G472" s="3"/>
      <c r="H472" s="2"/>
      <c r="I472" s="2"/>
      <c r="J472" s="2"/>
    </row>
    <row r="473" spans="1:10" ht="15" thickBot="1" x14ac:dyDescent="0.35">
      <c r="A473" s="1"/>
      <c r="B473" s="2"/>
      <c r="C473" s="2"/>
      <c r="D473" s="2"/>
      <c r="E473" s="2"/>
      <c r="F473" s="2"/>
      <c r="G473" s="3"/>
      <c r="H473" s="2"/>
      <c r="I473" s="2"/>
      <c r="J473" s="2"/>
    </row>
    <row r="474" spans="1:10" ht="15" thickBot="1" x14ac:dyDescent="0.35">
      <c r="A474" s="1"/>
      <c r="B474" s="2"/>
      <c r="C474" s="2"/>
      <c r="D474" s="2"/>
      <c r="E474" s="2"/>
      <c r="F474" s="2"/>
      <c r="G474" s="3"/>
      <c r="H474" s="2"/>
      <c r="I474" s="2"/>
      <c r="J474" s="2"/>
    </row>
    <row r="475" spans="1:10" ht="15" thickBot="1" x14ac:dyDescent="0.35">
      <c r="A475" s="1"/>
      <c r="B475" s="2"/>
      <c r="C475" s="2"/>
      <c r="D475" s="2"/>
      <c r="E475" s="2"/>
      <c r="F475" s="2"/>
      <c r="G475" s="3"/>
      <c r="H475" s="2"/>
      <c r="I475" s="2"/>
      <c r="J475" s="2"/>
    </row>
    <row r="476" spans="1:10" ht="15" thickBot="1" x14ac:dyDescent="0.35">
      <c r="A476" s="1"/>
      <c r="B476" s="2"/>
      <c r="C476" s="2"/>
      <c r="D476" s="2"/>
      <c r="E476" s="2"/>
      <c r="F476" s="2"/>
      <c r="G476" s="3"/>
      <c r="H476" s="2"/>
      <c r="I476" s="2"/>
      <c r="J476" s="2"/>
    </row>
    <row r="477" spans="1:10" ht="15" thickBot="1" x14ac:dyDescent="0.35">
      <c r="A477" s="1"/>
      <c r="B477" s="2"/>
      <c r="C477" s="2"/>
      <c r="D477" s="2"/>
      <c r="E477" s="2"/>
      <c r="F477" s="2"/>
      <c r="G477" s="3"/>
      <c r="H477" s="2"/>
      <c r="I477" s="2"/>
      <c r="J477" s="2"/>
    </row>
    <row r="478" spans="1:10" ht="15" thickBot="1" x14ac:dyDescent="0.35">
      <c r="A478" s="1"/>
      <c r="B478" s="2"/>
      <c r="C478" s="2"/>
      <c r="D478" s="2"/>
      <c r="E478" s="2"/>
      <c r="F478" s="2"/>
      <c r="G478" s="3"/>
      <c r="H478" s="2"/>
      <c r="I478" s="2"/>
      <c r="J478" s="2"/>
    </row>
    <row r="479" spans="1:10" ht="15" thickBot="1" x14ac:dyDescent="0.35">
      <c r="A479" s="1"/>
      <c r="B479" s="2"/>
      <c r="C479" s="2"/>
      <c r="D479" s="2"/>
      <c r="E479" s="2"/>
      <c r="F479" s="2"/>
      <c r="G479" s="3"/>
      <c r="H479" s="2"/>
      <c r="I479" s="2"/>
      <c r="J479" s="2"/>
    </row>
    <row r="480" spans="1:10" ht="15" thickBot="1" x14ac:dyDescent="0.35">
      <c r="A480" s="1"/>
      <c r="B480" s="2"/>
      <c r="C480" s="2"/>
      <c r="D480" s="2"/>
      <c r="E480" s="2"/>
      <c r="F480" s="2"/>
      <c r="G480" s="3"/>
      <c r="H480" s="2"/>
      <c r="I480" s="2"/>
      <c r="J480" s="2"/>
    </row>
    <row r="481" spans="1:10" ht="15" thickBot="1" x14ac:dyDescent="0.35">
      <c r="A481" s="1"/>
      <c r="B481" s="2"/>
      <c r="C481" s="2"/>
      <c r="D481" s="2"/>
      <c r="E481" s="2"/>
      <c r="F481" s="2"/>
      <c r="G481" s="3"/>
      <c r="H481" s="2"/>
      <c r="I481" s="2"/>
      <c r="J481" s="2"/>
    </row>
    <row r="482" spans="1:10" ht="15" thickBot="1" x14ac:dyDescent="0.35">
      <c r="A482" s="1"/>
      <c r="B482" s="2"/>
      <c r="C482" s="2"/>
      <c r="D482" s="2"/>
      <c r="E482" s="2"/>
      <c r="F482" s="2"/>
      <c r="G482" s="3"/>
      <c r="H482" s="2"/>
      <c r="I482" s="2"/>
      <c r="J482" s="2"/>
    </row>
    <row r="483" spans="1:10" ht="15" thickBot="1" x14ac:dyDescent="0.35">
      <c r="A483" s="1"/>
      <c r="B483" s="2"/>
      <c r="C483" s="2"/>
      <c r="D483" s="2"/>
      <c r="E483" s="2"/>
      <c r="F483" s="2"/>
      <c r="G483" s="3"/>
      <c r="H483" s="2"/>
      <c r="I483" s="2"/>
      <c r="J483" s="2"/>
    </row>
    <row r="484" spans="1:10" ht="15" thickBot="1" x14ac:dyDescent="0.35">
      <c r="A484" s="1"/>
      <c r="B484" s="2"/>
      <c r="C484" s="2"/>
      <c r="D484" s="2"/>
      <c r="E484" s="2"/>
      <c r="F484" s="2"/>
      <c r="G484" s="3"/>
      <c r="H484" s="2"/>
      <c r="I484" s="2"/>
      <c r="J484" s="2"/>
    </row>
    <row r="485" spans="1:10" ht="15" thickBot="1" x14ac:dyDescent="0.35">
      <c r="A485" s="1"/>
      <c r="B485" s="2"/>
      <c r="C485" s="2"/>
      <c r="D485" s="2"/>
      <c r="E485" s="2"/>
      <c r="F485" s="2"/>
      <c r="G485" s="3"/>
      <c r="H485" s="2"/>
      <c r="I485" s="2"/>
      <c r="J485" s="2"/>
    </row>
    <row r="486" spans="1:10" ht="15" thickBot="1" x14ac:dyDescent="0.35">
      <c r="A486" s="1"/>
      <c r="B486" s="2"/>
      <c r="C486" s="2"/>
      <c r="D486" s="2"/>
      <c r="E486" s="2"/>
      <c r="F486" s="2"/>
      <c r="G486" s="3"/>
      <c r="H486" s="2"/>
      <c r="I486" s="2"/>
      <c r="J486" s="2"/>
    </row>
    <row r="487" spans="1:10" ht="15" thickBot="1" x14ac:dyDescent="0.35">
      <c r="A487" s="1"/>
      <c r="B487" s="2"/>
      <c r="C487" s="2"/>
      <c r="D487" s="2"/>
      <c r="E487" s="2"/>
      <c r="F487" s="2"/>
      <c r="G487" s="3"/>
      <c r="H487" s="2"/>
      <c r="I487" s="2"/>
      <c r="J487" s="2"/>
    </row>
    <row r="488" spans="1:10" ht="15" thickBot="1" x14ac:dyDescent="0.35">
      <c r="A488" s="1"/>
      <c r="B488" s="2"/>
      <c r="C488" s="2"/>
      <c r="D488" s="2"/>
      <c r="E488" s="2"/>
      <c r="F488" s="2"/>
      <c r="G488" s="3"/>
      <c r="H488" s="2"/>
      <c r="I488" s="2"/>
      <c r="J488" s="2"/>
    </row>
    <row r="489" spans="1:10" ht="15" thickBot="1" x14ac:dyDescent="0.35">
      <c r="A489" s="1"/>
      <c r="B489" s="2"/>
      <c r="C489" s="2"/>
      <c r="D489" s="2"/>
      <c r="E489" s="2"/>
      <c r="F489" s="2"/>
      <c r="G489" s="3"/>
      <c r="H489" s="2"/>
      <c r="I489" s="2"/>
      <c r="J489" s="2"/>
    </row>
    <row r="490" spans="1:10" ht="15" thickBot="1" x14ac:dyDescent="0.35">
      <c r="A490" s="1"/>
      <c r="B490" s="2"/>
      <c r="C490" s="2"/>
      <c r="D490" s="2"/>
      <c r="E490" s="2"/>
      <c r="F490" s="2"/>
      <c r="G490" s="3"/>
      <c r="H490" s="2"/>
      <c r="I490" s="2"/>
      <c r="J490" s="2"/>
    </row>
    <row r="491" spans="1:10" ht="15" thickBot="1" x14ac:dyDescent="0.35">
      <c r="A491" s="1"/>
      <c r="B491" s="2"/>
      <c r="C491" s="2"/>
      <c r="D491" s="2"/>
      <c r="E491" s="2"/>
      <c r="F491" s="2"/>
      <c r="G491" s="3"/>
      <c r="H491" s="2"/>
      <c r="I491" s="2"/>
      <c r="J491" s="2"/>
    </row>
    <row r="492" spans="1:10" ht="15" thickBot="1" x14ac:dyDescent="0.35">
      <c r="A492" s="1"/>
      <c r="B492" s="2"/>
      <c r="C492" s="2"/>
      <c r="D492" s="2"/>
      <c r="E492" s="2"/>
      <c r="F492" s="2"/>
      <c r="G492" s="3"/>
      <c r="H492" s="2"/>
      <c r="I492" s="2"/>
      <c r="J492" s="2"/>
    </row>
    <row r="493" spans="1:10" ht="15" thickBot="1" x14ac:dyDescent="0.35">
      <c r="A493" s="1"/>
      <c r="B493" s="2"/>
      <c r="C493" s="2"/>
      <c r="D493" s="2"/>
      <c r="E493" s="2"/>
      <c r="F493" s="2"/>
      <c r="G493" s="3"/>
      <c r="H493" s="2"/>
      <c r="I493" s="2"/>
      <c r="J493" s="2"/>
    </row>
    <row r="494" spans="1:10" ht="15" thickBot="1" x14ac:dyDescent="0.35">
      <c r="A494" s="1"/>
      <c r="B494" s="2"/>
      <c r="C494" s="2"/>
      <c r="D494" s="2"/>
      <c r="E494" s="2"/>
      <c r="F494" s="2"/>
      <c r="G494" s="3"/>
      <c r="H494" s="2"/>
      <c r="I494" s="2"/>
      <c r="J494" s="2"/>
    </row>
    <row r="495" spans="1:10" ht="15" thickBot="1" x14ac:dyDescent="0.35">
      <c r="A495" s="1"/>
      <c r="B495" s="2"/>
      <c r="C495" s="2"/>
      <c r="D495" s="2"/>
      <c r="E495" s="2"/>
      <c r="F495" s="2"/>
      <c r="G495" s="3"/>
      <c r="H495" s="2"/>
      <c r="I495" s="2"/>
      <c r="J495" s="2"/>
    </row>
    <row r="496" spans="1:10" ht="15" thickBot="1" x14ac:dyDescent="0.35">
      <c r="A496" s="1"/>
      <c r="B496" s="2"/>
      <c r="C496" s="2"/>
      <c r="D496" s="2"/>
      <c r="E496" s="2"/>
      <c r="F496" s="2"/>
      <c r="G496" s="3"/>
      <c r="H496" s="2"/>
      <c r="I496" s="2"/>
      <c r="J496" s="2"/>
    </row>
    <row r="497" spans="1:10" ht="15" thickBot="1" x14ac:dyDescent="0.35">
      <c r="A497" s="1"/>
      <c r="B497" s="2"/>
      <c r="C497" s="2"/>
      <c r="D497" s="2"/>
      <c r="E497" s="2"/>
      <c r="F497" s="2"/>
      <c r="G497" s="3"/>
      <c r="H497" s="2"/>
      <c r="I497" s="2"/>
      <c r="J497" s="2"/>
    </row>
    <row r="498" spans="1:10" ht="15" thickBot="1" x14ac:dyDescent="0.35">
      <c r="A498" s="1"/>
      <c r="B498" s="2"/>
      <c r="C498" s="2"/>
      <c r="D498" s="2"/>
      <c r="E498" s="2"/>
      <c r="F498" s="2"/>
      <c r="G498" s="3"/>
      <c r="H498" s="2"/>
      <c r="I498" s="2"/>
      <c r="J498" s="2"/>
    </row>
    <row r="499" spans="1:10" ht="15" thickBot="1" x14ac:dyDescent="0.35">
      <c r="A499" s="1"/>
      <c r="B499" s="2"/>
      <c r="C499" s="2"/>
      <c r="D499" s="2"/>
      <c r="E499" s="2"/>
      <c r="F499" s="2"/>
      <c r="G499" s="3"/>
      <c r="H499" s="2"/>
      <c r="I499" s="2"/>
      <c r="J499" s="2"/>
    </row>
    <row r="500" spans="1:10" ht="15" thickBot="1" x14ac:dyDescent="0.35">
      <c r="A500" s="1"/>
      <c r="B500" s="2"/>
      <c r="C500" s="2"/>
      <c r="D500" s="2"/>
      <c r="E500" s="2"/>
      <c r="F500" s="2"/>
      <c r="G500" s="3"/>
      <c r="H500" s="2"/>
      <c r="I500" s="2"/>
      <c r="J500" s="2"/>
    </row>
    <row r="501" spans="1:10" ht="15" thickBot="1" x14ac:dyDescent="0.35">
      <c r="A501" s="1"/>
      <c r="B501" s="2"/>
      <c r="C501" s="2"/>
      <c r="D501" s="2"/>
      <c r="E501" s="2"/>
      <c r="F501" s="2"/>
      <c r="G501" s="3"/>
      <c r="H501" s="2"/>
      <c r="I501" s="2"/>
      <c r="J501" s="2"/>
    </row>
    <row r="502" spans="1:10" ht="15" thickBot="1" x14ac:dyDescent="0.35">
      <c r="A502" s="1"/>
      <c r="B502" s="2"/>
      <c r="C502" s="2"/>
      <c r="D502" s="2"/>
      <c r="E502" s="2"/>
      <c r="F502" s="2"/>
      <c r="G502" s="3"/>
      <c r="H502" s="2"/>
      <c r="I502" s="2"/>
      <c r="J502" s="2"/>
    </row>
    <row r="503" spans="1:10" ht="15" thickBot="1" x14ac:dyDescent="0.35">
      <c r="A503" s="1"/>
      <c r="B503" s="2"/>
      <c r="C503" s="2"/>
      <c r="D503" s="2"/>
      <c r="E503" s="2"/>
      <c r="F503" s="2"/>
      <c r="G503" s="3"/>
      <c r="H503" s="2"/>
      <c r="I503" s="2"/>
      <c r="J503" s="2"/>
    </row>
    <row r="504" spans="1:10" ht="15" thickBot="1" x14ac:dyDescent="0.35">
      <c r="A504" s="1"/>
      <c r="B504" s="2"/>
      <c r="C504" s="2"/>
      <c r="D504" s="2"/>
      <c r="E504" s="2"/>
      <c r="F504" s="2"/>
      <c r="G504" s="3"/>
      <c r="H504" s="2"/>
      <c r="I504" s="2"/>
      <c r="J504" s="2"/>
    </row>
    <row r="505" spans="1:10" ht="15" thickBot="1" x14ac:dyDescent="0.35">
      <c r="A505" s="1"/>
      <c r="B505" s="2"/>
      <c r="C505" s="2"/>
      <c r="D505" s="2"/>
      <c r="E505" s="2"/>
      <c r="F505" s="2"/>
      <c r="G505" s="3"/>
      <c r="H505" s="2"/>
      <c r="I505" s="2"/>
      <c r="J505" s="2"/>
    </row>
    <row r="506" spans="1:10" ht="15" thickBot="1" x14ac:dyDescent="0.35">
      <c r="A506" s="1"/>
      <c r="B506" s="2"/>
      <c r="C506" s="2"/>
      <c r="D506" s="2"/>
      <c r="E506" s="2"/>
      <c r="F506" s="2"/>
      <c r="G506" s="3"/>
      <c r="H506" s="2"/>
      <c r="I506" s="2"/>
      <c r="J506" s="2"/>
    </row>
    <row r="507" spans="1:10" ht="15" thickBot="1" x14ac:dyDescent="0.35">
      <c r="A507" s="1"/>
      <c r="B507" s="2"/>
      <c r="C507" s="2"/>
      <c r="D507" s="2"/>
      <c r="E507" s="2"/>
      <c r="F507" s="2"/>
      <c r="G507" s="3"/>
      <c r="H507" s="2"/>
      <c r="I507" s="2"/>
      <c r="J507" s="2"/>
    </row>
    <row r="508" spans="1:10" ht="15" thickBot="1" x14ac:dyDescent="0.35">
      <c r="A508" s="1"/>
      <c r="B508" s="2"/>
      <c r="C508" s="2"/>
      <c r="D508" s="2"/>
      <c r="E508" s="2"/>
      <c r="F508" s="2"/>
      <c r="G508" s="3"/>
      <c r="H508" s="2"/>
      <c r="I508" s="2"/>
      <c r="J508" s="2"/>
    </row>
    <row r="509" spans="1:10" ht="15" thickBot="1" x14ac:dyDescent="0.35">
      <c r="A509" s="1"/>
      <c r="B509" s="2"/>
      <c r="C509" s="2"/>
      <c r="D509" s="2"/>
      <c r="E509" s="2"/>
      <c r="F509" s="2"/>
      <c r="G509" s="3"/>
      <c r="H509" s="2"/>
      <c r="I509" s="2"/>
      <c r="J509" s="2"/>
    </row>
    <row r="510" spans="1:10" ht="15" thickBot="1" x14ac:dyDescent="0.35">
      <c r="A510" s="1"/>
      <c r="B510" s="2"/>
      <c r="C510" s="2"/>
      <c r="D510" s="2"/>
      <c r="E510" s="2"/>
      <c r="F510" s="2"/>
      <c r="G510" s="3"/>
      <c r="H510" s="2"/>
      <c r="I510" s="2"/>
      <c r="J510" s="2"/>
    </row>
    <row r="511" spans="1:10" ht="15" thickBot="1" x14ac:dyDescent="0.35">
      <c r="A511" s="1"/>
      <c r="B511" s="2"/>
      <c r="C511" s="2"/>
      <c r="D511" s="2"/>
      <c r="E511" s="2"/>
      <c r="F511" s="2"/>
      <c r="G511" s="3"/>
      <c r="H511" s="2"/>
      <c r="I511" s="2"/>
      <c r="J511" s="2"/>
    </row>
    <row r="512" spans="1:10" ht="15" thickBot="1" x14ac:dyDescent="0.35">
      <c r="A512" s="1"/>
      <c r="B512" s="2"/>
      <c r="C512" s="2"/>
      <c r="D512" s="2"/>
      <c r="E512" s="2"/>
      <c r="F512" s="2"/>
      <c r="G512" s="3"/>
      <c r="H512" s="2"/>
      <c r="I512" s="2"/>
      <c r="J512" s="2"/>
    </row>
    <row r="513" spans="1:10" ht="15" thickBot="1" x14ac:dyDescent="0.35">
      <c r="A513" s="1"/>
      <c r="B513" s="2"/>
      <c r="C513" s="2"/>
      <c r="D513" s="2"/>
      <c r="E513" s="2"/>
      <c r="F513" s="2"/>
      <c r="G513" s="3"/>
      <c r="H513" s="2"/>
      <c r="I513" s="2"/>
      <c r="J513" s="2"/>
    </row>
    <row r="514" spans="1:10" ht="15" thickBot="1" x14ac:dyDescent="0.35">
      <c r="A514" s="1"/>
      <c r="B514" s="2"/>
      <c r="C514" s="2"/>
      <c r="D514" s="2"/>
      <c r="E514" s="2"/>
      <c r="F514" s="2"/>
      <c r="G514" s="3"/>
      <c r="H514" s="2"/>
      <c r="I514" s="2"/>
      <c r="J514" s="2"/>
    </row>
    <row r="515" spans="1:10" ht="15" thickBot="1" x14ac:dyDescent="0.35">
      <c r="A515" s="1"/>
      <c r="B515" s="2"/>
      <c r="C515" s="2"/>
      <c r="D515" s="2"/>
      <c r="E515" s="2"/>
      <c r="F515" s="2"/>
      <c r="G515" s="3"/>
      <c r="H515" s="2"/>
      <c r="I515" s="2"/>
      <c r="J515" s="2"/>
    </row>
    <row r="516" spans="1:10" ht="15" thickBot="1" x14ac:dyDescent="0.35">
      <c r="A516" s="1"/>
      <c r="B516" s="2"/>
      <c r="C516" s="2"/>
      <c r="D516" s="2"/>
      <c r="E516" s="2"/>
      <c r="F516" s="2"/>
      <c r="G516" s="3"/>
      <c r="H516" s="2"/>
      <c r="I516" s="2"/>
      <c r="J516" s="2"/>
    </row>
    <row r="517" spans="1:10" ht="15" thickBot="1" x14ac:dyDescent="0.35">
      <c r="A517" s="1"/>
      <c r="B517" s="2"/>
      <c r="C517" s="2"/>
      <c r="D517" s="2"/>
      <c r="E517" s="2"/>
      <c r="F517" s="2"/>
      <c r="G517" s="3"/>
      <c r="H517" s="2"/>
      <c r="I517" s="2"/>
      <c r="J517" s="2"/>
    </row>
    <row r="518" spans="1:10" ht="15" thickBot="1" x14ac:dyDescent="0.35">
      <c r="A518" s="1"/>
      <c r="B518" s="2"/>
      <c r="C518" s="2"/>
      <c r="D518" s="2"/>
      <c r="E518" s="2"/>
      <c r="F518" s="2"/>
      <c r="G518" s="3"/>
      <c r="H518" s="2"/>
      <c r="I518" s="2"/>
      <c r="J518" s="2"/>
    </row>
    <row r="519" spans="1:10" ht="15" thickBot="1" x14ac:dyDescent="0.35">
      <c r="A519" s="1"/>
      <c r="B519" s="2"/>
      <c r="C519" s="2"/>
      <c r="D519" s="2"/>
      <c r="E519" s="2"/>
      <c r="F519" s="2"/>
      <c r="G519" s="3"/>
      <c r="H519" s="2"/>
      <c r="I519" s="2"/>
      <c r="J519" s="2"/>
    </row>
    <row r="520" spans="1:10" ht="15" thickBot="1" x14ac:dyDescent="0.35">
      <c r="A520" s="1"/>
      <c r="B520" s="2"/>
      <c r="C520" s="2"/>
      <c r="D520" s="2"/>
      <c r="E520" s="2"/>
      <c r="F520" s="2"/>
      <c r="G520" s="3"/>
      <c r="H520" s="2"/>
      <c r="I520" s="2"/>
      <c r="J520" s="2"/>
    </row>
    <row r="521" spans="1:10" ht="15" thickBot="1" x14ac:dyDescent="0.35">
      <c r="A521" s="1"/>
      <c r="B521" s="2"/>
      <c r="C521" s="2"/>
      <c r="D521" s="2"/>
      <c r="E521" s="2"/>
      <c r="F521" s="2"/>
      <c r="G521" s="3"/>
      <c r="H521" s="2"/>
      <c r="I521" s="2"/>
      <c r="J521" s="2"/>
    </row>
    <row r="522" spans="1:10" ht="15" thickBot="1" x14ac:dyDescent="0.35">
      <c r="A522" s="1"/>
      <c r="B522" s="2"/>
      <c r="C522" s="2"/>
      <c r="D522" s="2"/>
      <c r="E522" s="2"/>
      <c r="F522" s="2"/>
      <c r="G522" s="3"/>
      <c r="H522" s="2"/>
      <c r="I522" s="2"/>
      <c r="J522" s="2"/>
    </row>
    <row r="523" spans="1:10" ht="15" thickBot="1" x14ac:dyDescent="0.35">
      <c r="A523" s="1"/>
      <c r="B523" s="2"/>
      <c r="C523" s="2"/>
      <c r="D523" s="2"/>
      <c r="E523" s="2"/>
      <c r="F523" s="2"/>
      <c r="G523" s="3"/>
      <c r="H523" s="2"/>
      <c r="I523" s="2"/>
      <c r="J523" s="2"/>
    </row>
    <row r="524" spans="1:10" ht="15" thickBot="1" x14ac:dyDescent="0.35">
      <c r="A524" s="1"/>
      <c r="B524" s="2"/>
      <c r="C524" s="2"/>
      <c r="D524" s="2"/>
      <c r="E524" s="2"/>
      <c r="F524" s="2"/>
      <c r="G524" s="3"/>
      <c r="H524" s="2"/>
      <c r="I524" s="2"/>
      <c r="J524" s="2"/>
    </row>
    <row r="525" spans="1:10" ht="15" thickBot="1" x14ac:dyDescent="0.35">
      <c r="A525" s="1"/>
      <c r="B525" s="2"/>
      <c r="C525" s="2"/>
      <c r="D525" s="2"/>
      <c r="E525" s="2"/>
      <c r="F525" s="2"/>
      <c r="G525" s="3"/>
      <c r="H525" s="2"/>
      <c r="I525" s="2"/>
      <c r="J525" s="2"/>
    </row>
    <row r="526" spans="1:10" ht="15" thickBot="1" x14ac:dyDescent="0.35">
      <c r="A526" s="1"/>
      <c r="B526" s="2"/>
      <c r="C526" s="2"/>
      <c r="D526" s="2"/>
      <c r="E526" s="2"/>
      <c r="F526" s="2"/>
      <c r="G526" s="3"/>
      <c r="H526" s="2"/>
      <c r="I526" s="2"/>
      <c r="J526" s="2"/>
    </row>
    <row r="527" spans="1:10" ht="15" thickBot="1" x14ac:dyDescent="0.35">
      <c r="A527" s="1"/>
      <c r="B527" s="2"/>
      <c r="C527" s="2"/>
      <c r="D527" s="2"/>
      <c r="E527" s="2"/>
      <c r="F527" s="2"/>
      <c r="G527" s="3"/>
      <c r="H527" s="2"/>
      <c r="I527" s="2"/>
      <c r="J527" s="2"/>
    </row>
    <row r="528" spans="1:10" ht="15" thickBot="1" x14ac:dyDescent="0.35">
      <c r="A528" s="1"/>
      <c r="B528" s="2"/>
      <c r="C528" s="2"/>
      <c r="D528" s="2"/>
      <c r="E528" s="2"/>
      <c r="F528" s="2"/>
      <c r="G528" s="3"/>
      <c r="H528" s="2"/>
      <c r="I528" s="2"/>
      <c r="J528" s="2"/>
    </row>
    <row r="529" spans="1:10" ht="15" thickBot="1" x14ac:dyDescent="0.35">
      <c r="A529" s="1"/>
      <c r="B529" s="2"/>
      <c r="C529" s="2"/>
      <c r="D529" s="2"/>
      <c r="E529" s="2"/>
      <c r="F529" s="2"/>
      <c r="G529" s="3"/>
      <c r="H529" s="2"/>
      <c r="I529" s="2"/>
      <c r="J529" s="2"/>
    </row>
    <row r="530" spans="1:10" ht="15" thickBot="1" x14ac:dyDescent="0.35">
      <c r="A530" s="1"/>
      <c r="B530" s="2"/>
      <c r="C530" s="2"/>
      <c r="D530" s="2"/>
      <c r="E530" s="2"/>
      <c r="F530" s="2"/>
      <c r="G530" s="3"/>
      <c r="H530" s="2"/>
      <c r="I530" s="2"/>
      <c r="J530" s="2"/>
    </row>
    <row r="531" spans="1:10" ht="15" thickBot="1" x14ac:dyDescent="0.35">
      <c r="A531" s="1"/>
      <c r="B531" s="2"/>
      <c r="C531" s="2"/>
      <c r="D531" s="2"/>
      <c r="E531" s="2"/>
      <c r="F531" s="2"/>
      <c r="G531" s="3"/>
      <c r="H531" s="2"/>
      <c r="I531" s="2"/>
      <c r="J531" s="2"/>
    </row>
    <row r="532" spans="1:10" ht="15" thickBot="1" x14ac:dyDescent="0.35">
      <c r="A532" s="1"/>
      <c r="B532" s="2"/>
      <c r="C532" s="2"/>
      <c r="D532" s="2"/>
      <c r="E532" s="2"/>
      <c r="F532" s="2"/>
      <c r="G532" s="3"/>
      <c r="H532" s="2"/>
      <c r="I532" s="2"/>
      <c r="J532" s="2"/>
    </row>
    <row r="533" spans="1:10" ht="15" thickBot="1" x14ac:dyDescent="0.35">
      <c r="A533" s="1"/>
      <c r="B533" s="2"/>
      <c r="C533" s="2"/>
      <c r="D533" s="2"/>
      <c r="E533" s="2"/>
      <c r="F533" s="2"/>
      <c r="G533" s="3"/>
      <c r="H533" s="2"/>
      <c r="I533" s="2"/>
      <c r="J533" s="2"/>
    </row>
    <row r="534" spans="1:10" ht="15" thickBot="1" x14ac:dyDescent="0.35">
      <c r="A534" s="1"/>
      <c r="B534" s="2"/>
      <c r="C534" s="2"/>
      <c r="D534" s="2"/>
      <c r="E534" s="2"/>
      <c r="F534" s="2"/>
      <c r="G534" s="3"/>
      <c r="H534" s="2"/>
      <c r="I534" s="2"/>
      <c r="J534" s="2"/>
    </row>
    <row r="535" spans="1:10" ht="15" thickBot="1" x14ac:dyDescent="0.35">
      <c r="A535" s="1"/>
      <c r="B535" s="2"/>
      <c r="C535" s="2"/>
      <c r="D535" s="2"/>
      <c r="E535" s="2"/>
      <c r="F535" s="2"/>
      <c r="G535" s="3"/>
      <c r="H535" s="2"/>
      <c r="I535" s="2"/>
      <c r="J535" s="2"/>
    </row>
    <row r="536" spans="1:10" ht="15" thickBot="1" x14ac:dyDescent="0.35">
      <c r="A536" s="1"/>
      <c r="B536" s="2"/>
      <c r="C536" s="2"/>
      <c r="D536" s="2"/>
      <c r="E536" s="2"/>
      <c r="F536" s="2"/>
      <c r="G536" s="3"/>
      <c r="H536" s="2"/>
      <c r="I536" s="2"/>
      <c r="J536" s="2"/>
    </row>
    <row r="537" spans="1:10" ht="15" thickBot="1" x14ac:dyDescent="0.35">
      <c r="A537" s="1"/>
      <c r="B537" s="2"/>
      <c r="C537" s="2"/>
      <c r="D537" s="2"/>
      <c r="E537" s="2"/>
      <c r="F537" s="2"/>
      <c r="G537" s="3"/>
      <c r="H537" s="2"/>
      <c r="I537" s="2"/>
      <c r="J537" s="2"/>
    </row>
    <row r="538" spans="1:10" ht="15" thickBot="1" x14ac:dyDescent="0.35">
      <c r="A538" s="1"/>
      <c r="B538" s="2"/>
      <c r="C538" s="2"/>
      <c r="D538" s="2"/>
      <c r="E538" s="2"/>
      <c r="F538" s="2"/>
      <c r="G538" s="3"/>
      <c r="H538" s="2"/>
      <c r="I538" s="2"/>
      <c r="J538" s="2"/>
    </row>
    <row r="539" spans="1:10" ht="15" thickBot="1" x14ac:dyDescent="0.35">
      <c r="A539" s="1"/>
      <c r="B539" s="2"/>
      <c r="C539" s="2"/>
      <c r="D539" s="2"/>
      <c r="E539" s="2"/>
      <c r="F539" s="2"/>
      <c r="G539" s="3"/>
      <c r="H539" s="2"/>
      <c r="I539" s="2"/>
      <c r="J539" s="2"/>
    </row>
    <row r="540" spans="1:10" ht="15" thickBot="1" x14ac:dyDescent="0.35">
      <c r="A540" s="1"/>
      <c r="B540" s="2"/>
      <c r="C540" s="2"/>
      <c r="D540" s="2"/>
      <c r="E540" s="2"/>
      <c r="F540" s="2"/>
      <c r="G540" s="3"/>
      <c r="H540" s="2"/>
      <c r="I540" s="2"/>
      <c r="J540" s="2"/>
    </row>
    <row r="541" spans="1:10" ht="15" thickBot="1" x14ac:dyDescent="0.35">
      <c r="A541" s="1"/>
      <c r="B541" s="2"/>
      <c r="C541" s="2"/>
      <c r="D541" s="2"/>
      <c r="E541" s="2"/>
      <c r="F541" s="2"/>
      <c r="G541" s="3"/>
      <c r="H541" s="2"/>
      <c r="I541" s="2"/>
      <c r="J541" s="2"/>
    </row>
    <row r="542" spans="1:10" ht="15" thickBot="1" x14ac:dyDescent="0.35">
      <c r="A542" s="1"/>
      <c r="B542" s="2"/>
      <c r="C542" s="2"/>
      <c r="D542" s="2"/>
      <c r="E542" s="2"/>
      <c r="F542" s="2"/>
      <c r="G542" s="3"/>
      <c r="H542" s="2"/>
      <c r="I542" s="2"/>
      <c r="J542" s="2"/>
    </row>
    <row r="543" spans="1:10" ht="15" thickBot="1" x14ac:dyDescent="0.35">
      <c r="A543" s="1"/>
      <c r="B543" s="2"/>
      <c r="C543" s="2"/>
      <c r="D543" s="2"/>
      <c r="E543" s="2"/>
      <c r="F543" s="2"/>
      <c r="G543" s="3"/>
      <c r="H543" s="2"/>
      <c r="I543" s="2"/>
      <c r="J543" s="2"/>
    </row>
    <row r="544" spans="1:10" ht="15" thickBot="1" x14ac:dyDescent="0.35">
      <c r="A544" s="1"/>
      <c r="B544" s="2"/>
      <c r="C544" s="2"/>
      <c r="D544" s="2"/>
      <c r="E544" s="2"/>
      <c r="F544" s="2"/>
      <c r="G544" s="3"/>
      <c r="H544" s="2"/>
      <c r="I544" s="2"/>
      <c r="J544" s="2"/>
    </row>
    <row r="545" spans="1:10" ht="15" thickBot="1" x14ac:dyDescent="0.35">
      <c r="A545" s="1"/>
      <c r="B545" s="2"/>
      <c r="C545" s="2"/>
      <c r="D545" s="2"/>
      <c r="E545" s="2"/>
      <c r="F545" s="2"/>
      <c r="G545" s="3"/>
      <c r="H545" s="2"/>
      <c r="I545" s="2"/>
      <c r="J545" s="2"/>
    </row>
    <row r="546" spans="1:10" ht="15" thickBot="1" x14ac:dyDescent="0.35">
      <c r="A546" s="1"/>
      <c r="B546" s="2"/>
      <c r="C546" s="2"/>
      <c r="D546" s="2"/>
      <c r="E546" s="2"/>
      <c r="F546" s="2"/>
      <c r="G546" s="3"/>
      <c r="H546" s="2"/>
      <c r="I546" s="2"/>
      <c r="J546" s="2"/>
    </row>
    <row r="547" spans="1:10" ht="15" thickBot="1" x14ac:dyDescent="0.35">
      <c r="A547" s="1"/>
      <c r="B547" s="2"/>
      <c r="C547" s="2"/>
      <c r="D547" s="2"/>
      <c r="E547" s="2"/>
      <c r="F547" s="2"/>
      <c r="G547" s="3"/>
      <c r="H547" s="2"/>
      <c r="I547" s="2"/>
      <c r="J547" s="2"/>
    </row>
    <row r="548" spans="1:10" ht="15" thickBot="1" x14ac:dyDescent="0.35">
      <c r="A548" s="1"/>
      <c r="B548" s="2"/>
      <c r="C548" s="2"/>
      <c r="D548" s="2"/>
      <c r="E548" s="2"/>
      <c r="F548" s="2"/>
      <c r="G548" s="3"/>
      <c r="H548" s="2"/>
      <c r="I548" s="2"/>
      <c r="J548" s="2"/>
    </row>
    <row r="549" spans="1:10" ht="15" thickBot="1" x14ac:dyDescent="0.35">
      <c r="A549" s="1"/>
      <c r="B549" s="2"/>
      <c r="C549" s="2"/>
      <c r="D549" s="2"/>
      <c r="E549" s="2"/>
      <c r="F549" s="2"/>
      <c r="G549" s="3"/>
      <c r="H549" s="2"/>
      <c r="I549" s="2"/>
      <c r="J549" s="2"/>
    </row>
    <row r="550" spans="1:10" ht="15" thickBot="1" x14ac:dyDescent="0.35">
      <c r="A550" s="1"/>
      <c r="B550" s="2"/>
      <c r="C550" s="2"/>
      <c r="D550" s="2"/>
      <c r="E550" s="2"/>
      <c r="F550" s="2"/>
      <c r="G550" s="3"/>
      <c r="H550" s="2"/>
      <c r="I550" s="2"/>
      <c r="J550" s="2"/>
    </row>
    <row r="551" spans="1:10" ht="15" thickBot="1" x14ac:dyDescent="0.35">
      <c r="A551" s="1"/>
      <c r="B551" s="2"/>
      <c r="C551" s="2"/>
      <c r="D551" s="2"/>
      <c r="E551" s="2"/>
      <c r="F551" s="2"/>
      <c r="G551" s="3"/>
      <c r="H551" s="2"/>
      <c r="I551" s="2"/>
      <c r="J551" s="2"/>
    </row>
    <row r="552" spans="1:10" ht="15" thickBot="1" x14ac:dyDescent="0.35">
      <c r="A552" s="1"/>
      <c r="B552" s="2"/>
      <c r="C552" s="2"/>
      <c r="D552" s="2"/>
      <c r="E552" s="2"/>
      <c r="F552" s="2"/>
      <c r="G552" s="3"/>
      <c r="H552" s="2"/>
      <c r="I552" s="2"/>
      <c r="J552" s="2"/>
    </row>
    <row r="553" spans="1:10" ht="15" thickBot="1" x14ac:dyDescent="0.35">
      <c r="A553" s="1"/>
      <c r="B553" s="2"/>
      <c r="C553" s="2"/>
      <c r="D553" s="2"/>
      <c r="E553" s="2"/>
      <c r="F553" s="2"/>
      <c r="G553" s="3"/>
      <c r="H553" s="2"/>
      <c r="I553" s="2"/>
      <c r="J553" s="2"/>
    </row>
    <row r="554" spans="1:10" ht="15" thickBot="1" x14ac:dyDescent="0.35">
      <c r="A554" s="1"/>
      <c r="B554" s="2"/>
      <c r="C554" s="2"/>
      <c r="D554" s="2"/>
      <c r="E554" s="2"/>
      <c r="F554" s="2"/>
      <c r="G554" s="3"/>
      <c r="H554" s="2"/>
      <c r="I554" s="2"/>
      <c r="J554" s="2"/>
    </row>
    <row r="555" spans="1:10" ht="15" thickBot="1" x14ac:dyDescent="0.35">
      <c r="A555" s="1"/>
      <c r="B555" s="2"/>
      <c r="C555" s="2"/>
      <c r="D555" s="2"/>
      <c r="E555" s="2"/>
      <c r="F555" s="2"/>
      <c r="G555" s="3"/>
      <c r="H555" s="2"/>
      <c r="I555" s="2"/>
      <c r="J555" s="2"/>
    </row>
    <row r="556" spans="1:10" ht="15" thickBot="1" x14ac:dyDescent="0.35">
      <c r="A556" s="1"/>
      <c r="B556" s="2"/>
      <c r="C556" s="2"/>
      <c r="D556" s="2"/>
      <c r="E556" s="2"/>
      <c r="F556" s="2"/>
      <c r="G556" s="3"/>
      <c r="H556" s="2"/>
      <c r="I556" s="2"/>
      <c r="J556" s="2"/>
    </row>
    <row r="557" spans="1:10" ht="15" thickBot="1" x14ac:dyDescent="0.35">
      <c r="A557" s="1"/>
      <c r="B557" s="2"/>
      <c r="C557" s="2"/>
      <c r="D557" s="2"/>
      <c r="E557" s="2"/>
      <c r="F557" s="2"/>
      <c r="G557" s="3"/>
      <c r="H557" s="2"/>
      <c r="I557" s="2"/>
      <c r="J557" s="2"/>
    </row>
    <row r="558" spans="1:10" ht="15" thickBot="1" x14ac:dyDescent="0.35">
      <c r="A558" s="1"/>
      <c r="B558" s="2"/>
      <c r="C558" s="2"/>
      <c r="D558" s="2"/>
      <c r="E558" s="2"/>
      <c r="F558" s="2"/>
      <c r="G558" s="3"/>
      <c r="H558" s="2"/>
      <c r="I558" s="2"/>
      <c r="J558" s="2"/>
    </row>
    <row r="559" spans="1:10" ht="15" thickBot="1" x14ac:dyDescent="0.35">
      <c r="A559" s="1"/>
      <c r="B559" s="2"/>
      <c r="C559" s="2"/>
      <c r="D559" s="2"/>
      <c r="E559" s="2"/>
      <c r="F559" s="2"/>
      <c r="G559" s="3"/>
      <c r="H559" s="2"/>
      <c r="I559" s="2"/>
      <c r="J559" s="2"/>
    </row>
    <row r="560" spans="1:10" ht="15" thickBot="1" x14ac:dyDescent="0.35">
      <c r="A560" s="1"/>
      <c r="B560" s="2"/>
      <c r="C560" s="2"/>
      <c r="D560" s="2"/>
      <c r="E560" s="2"/>
      <c r="F560" s="2"/>
      <c r="G560" s="3"/>
      <c r="H560" s="2"/>
      <c r="I560" s="2"/>
      <c r="J560" s="2"/>
    </row>
    <row r="561" spans="1:10" ht="15" thickBot="1" x14ac:dyDescent="0.35">
      <c r="A561" s="1"/>
      <c r="B561" s="2"/>
      <c r="C561" s="2"/>
      <c r="D561" s="2"/>
      <c r="E561" s="2"/>
      <c r="F561" s="2"/>
      <c r="G561" s="3"/>
      <c r="H561" s="2"/>
      <c r="I561" s="2"/>
      <c r="J561" s="2"/>
    </row>
    <row r="562" spans="1:10" ht="15" thickBot="1" x14ac:dyDescent="0.35">
      <c r="A562" s="1"/>
      <c r="B562" s="2"/>
      <c r="C562" s="2"/>
      <c r="D562" s="2"/>
      <c r="E562" s="2"/>
      <c r="F562" s="2"/>
      <c r="G562" s="3"/>
      <c r="H562" s="2"/>
      <c r="I562" s="2"/>
      <c r="J562" s="2"/>
    </row>
    <row r="563" spans="1:10" ht="15" thickBot="1" x14ac:dyDescent="0.35">
      <c r="A563" s="1"/>
      <c r="B563" s="2"/>
      <c r="C563" s="2"/>
      <c r="D563" s="2"/>
      <c r="E563" s="2"/>
      <c r="F563" s="2"/>
      <c r="G563" s="3"/>
      <c r="H563" s="2"/>
      <c r="I563" s="2"/>
      <c r="J563" s="2"/>
    </row>
    <row r="564" spans="1:10" ht="15" thickBot="1" x14ac:dyDescent="0.35">
      <c r="A564" s="1"/>
      <c r="B564" s="2"/>
      <c r="C564" s="2"/>
      <c r="D564" s="2"/>
      <c r="E564" s="2"/>
      <c r="F564" s="2"/>
      <c r="G564" s="3"/>
      <c r="H564" s="2"/>
      <c r="I564" s="2"/>
      <c r="J564" s="2"/>
    </row>
    <row r="565" spans="1:10" ht="15" thickBot="1" x14ac:dyDescent="0.35">
      <c r="A565" s="1"/>
      <c r="B565" s="2"/>
      <c r="C565" s="2"/>
      <c r="D565" s="2"/>
      <c r="E565" s="2"/>
      <c r="F565" s="2"/>
      <c r="G565" s="3"/>
      <c r="H565" s="2"/>
      <c r="I565" s="2"/>
      <c r="J565" s="2"/>
    </row>
    <row r="566" spans="1:10" ht="15" thickBot="1" x14ac:dyDescent="0.35">
      <c r="A566" s="1"/>
      <c r="B566" s="2"/>
      <c r="C566" s="2"/>
      <c r="D566" s="2"/>
      <c r="E566" s="2"/>
      <c r="F566" s="2"/>
      <c r="G566" s="3"/>
      <c r="H566" s="2"/>
      <c r="I566" s="2"/>
      <c r="J566" s="2"/>
    </row>
    <row r="567" spans="1:10" ht="15" thickBot="1" x14ac:dyDescent="0.35">
      <c r="A567" s="1"/>
      <c r="B567" s="2"/>
      <c r="C567" s="2"/>
      <c r="D567" s="2"/>
      <c r="E567" s="2"/>
      <c r="F567" s="2"/>
      <c r="G567" s="3"/>
      <c r="H567" s="2"/>
      <c r="I567" s="2"/>
      <c r="J567" s="2"/>
    </row>
    <row r="568" spans="1:10" ht="15" thickBot="1" x14ac:dyDescent="0.35">
      <c r="A568" s="1"/>
      <c r="B568" s="2"/>
      <c r="C568" s="2"/>
      <c r="D568" s="2"/>
      <c r="E568" s="2"/>
      <c r="F568" s="2"/>
      <c r="G568" s="3"/>
      <c r="H568" s="2"/>
      <c r="I568" s="2"/>
      <c r="J568" s="2"/>
    </row>
    <row r="569" spans="1:10" ht="15" thickBot="1" x14ac:dyDescent="0.35">
      <c r="A569" s="1"/>
      <c r="B569" s="2"/>
      <c r="C569" s="2"/>
      <c r="D569" s="2"/>
      <c r="E569" s="2"/>
      <c r="F569" s="2"/>
      <c r="G569" s="3"/>
      <c r="H569" s="2"/>
      <c r="I569" s="2"/>
      <c r="J569" s="2"/>
    </row>
    <row r="570" spans="1:10" ht="15" thickBot="1" x14ac:dyDescent="0.35">
      <c r="A570" s="1"/>
      <c r="B570" s="2"/>
      <c r="C570" s="2"/>
      <c r="D570" s="2"/>
      <c r="E570" s="2"/>
      <c r="F570" s="2"/>
      <c r="G570" s="3"/>
      <c r="H570" s="2"/>
      <c r="I570" s="2"/>
      <c r="J570" s="2"/>
    </row>
    <row r="571" spans="1:10" ht="15" thickBot="1" x14ac:dyDescent="0.35">
      <c r="A571" s="1"/>
      <c r="B571" s="2"/>
      <c r="C571" s="2"/>
      <c r="D571" s="2"/>
      <c r="E571" s="2"/>
      <c r="F571" s="2"/>
      <c r="G571" s="3"/>
      <c r="H571" s="2"/>
      <c r="I571" s="2"/>
      <c r="J571" s="2"/>
    </row>
    <row r="572" spans="1:10" ht="15" thickBot="1" x14ac:dyDescent="0.35">
      <c r="A572" s="1"/>
      <c r="B572" s="2"/>
      <c r="C572" s="2"/>
      <c r="D572" s="2"/>
      <c r="E572" s="2"/>
      <c r="F572" s="2"/>
      <c r="G572" s="3"/>
      <c r="H572" s="2"/>
      <c r="I572" s="2"/>
      <c r="J572" s="2"/>
    </row>
    <row r="573" spans="1:10" ht="15" thickBot="1" x14ac:dyDescent="0.35">
      <c r="A573" s="1"/>
      <c r="B573" s="2"/>
      <c r="C573" s="2"/>
      <c r="D573" s="2"/>
      <c r="E573" s="2"/>
      <c r="F573" s="2"/>
      <c r="G573" s="3"/>
      <c r="H573" s="2"/>
      <c r="I573" s="2"/>
      <c r="J573" s="2"/>
    </row>
    <row r="574" spans="1:10" ht="15" thickBot="1" x14ac:dyDescent="0.35">
      <c r="A574" s="1"/>
      <c r="B574" s="2"/>
      <c r="C574" s="2"/>
      <c r="D574" s="2"/>
      <c r="E574" s="2"/>
      <c r="F574" s="2"/>
      <c r="G574" s="3"/>
      <c r="H574" s="2"/>
      <c r="I574" s="2"/>
      <c r="J574" s="2"/>
    </row>
    <row r="575" spans="1:10" ht="15" thickBot="1" x14ac:dyDescent="0.35">
      <c r="A575" s="1"/>
      <c r="B575" s="2"/>
      <c r="C575" s="2"/>
      <c r="D575" s="2"/>
      <c r="E575" s="2"/>
      <c r="F575" s="2"/>
      <c r="G575" s="3"/>
      <c r="H575" s="2"/>
      <c r="I575" s="2"/>
      <c r="J575" s="2"/>
    </row>
    <row r="576" spans="1:10" ht="15" thickBot="1" x14ac:dyDescent="0.35">
      <c r="A576" s="1"/>
      <c r="B576" s="2"/>
      <c r="C576" s="2"/>
      <c r="D576" s="2"/>
      <c r="E576" s="2"/>
      <c r="F576" s="2"/>
      <c r="G576" s="3"/>
      <c r="H576" s="2"/>
      <c r="I576" s="2"/>
      <c r="J576" s="2"/>
    </row>
    <row r="577" spans="1:10" ht="15" thickBot="1" x14ac:dyDescent="0.35">
      <c r="A577" s="1"/>
      <c r="B577" s="2"/>
      <c r="C577" s="2"/>
      <c r="D577" s="2"/>
      <c r="E577" s="2"/>
      <c r="F577" s="2"/>
      <c r="G577" s="3"/>
      <c r="H577" s="2"/>
      <c r="I577" s="2"/>
      <c r="J577" s="2"/>
    </row>
    <row r="578" spans="1:10" ht="15" thickBot="1" x14ac:dyDescent="0.35">
      <c r="A578" s="1"/>
      <c r="B578" s="2"/>
      <c r="C578" s="2"/>
      <c r="D578" s="2"/>
      <c r="E578" s="2"/>
      <c r="F578" s="2"/>
      <c r="G578" s="3"/>
      <c r="H578" s="2"/>
      <c r="I578" s="2"/>
      <c r="J578" s="2"/>
    </row>
    <row r="579" spans="1:10" ht="15" thickBot="1" x14ac:dyDescent="0.35">
      <c r="A579" s="1"/>
      <c r="B579" s="2"/>
      <c r="C579" s="2"/>
      <c r="D579" s="2"/>
      <c r="E579" s="2"/>
      <c r="F579" s="2"/>
      <c r="G579" s="3"/>
      <c r="H579" s="2"/>
      <c r="I579" s="2"/>
      <c r="J579" s="2"/>
    </row>
    <row r="580" spans="1:10" ht="15" thickBot="1" x14ac:dyDescent="0.35">
      <c r="A580" s="1"/>
      <c r="B580" s="2"/>
      <c r="C580" s="2"/>
      <c r="D580" s="2"/>
      <c r="E580" s="2"/>
      <c r="F580" s="2"/>
      <c r="G580" s="3"/>
      <c r="H580" s="2"/>
      <c r="I580" s="2"/>
      <c r="J580" s="2"/>
    </row>
    <row r="581" spans="1:10" ht="15" thickBot="1" x14ac:dyDescent="0.35">
      <c r="A581" s="1"/>
      <c r="B581" s="2"/>
      <c r="C581" s="2"/>
      <c r="D581" s="2"/>
      <c r="E581" s="2"/>
      <c r="F581" s="2"/>
      <c r="G581" s="3"/>
      <c r="H581" s="2"/>
      <c r="I581" s="2"/>
      <c r="J581" s="2"/>
    </row>
    <row r="582" spans="1:10" ht="15" thickBot="1" x14ac:dyDescent="0.35">
      <c r="A582" s="1"/>
      <c r="B582" s="2"/>
      <c r="C582" s="2"/>
      <c r="D582" s="2"/>
      <c r="E582" s="2"/>
      <c r="F582" s="2"/>
      <c r="G582" s="3"/>
      <c r="H582" s="2"/>
      <c r="I582" s="2"/>
      <c r="J582" s="2"/>
    </row>
    <row r="583" spans="1:10" ht="15" thickBot="1" x14ac:dyDescent="0.35">
      <c r="A583" s="1"/>
      <c r="B583" s="2"/>
      <c r="C583" s="2"/>
      <c r="D583" s="2"/>
      <c r="E583" s="2"/>
      <c r="F583" s="2"/>
      <c r="G583" s="3"/>
      <c r="H583" s="2"/>
      <c r="I583" s="2"/>
      <c r="J583" s="2"/>
    </row>
    <row r="584" spans="1:10" ht="15" thickBot="1" x14ac:dyDescent="0.35">
      <c r="A584" s="1"/>
      <c r="B584" s="2"/>
      <c r="C584" s="2"/>
      <c r="D584" s="2"/>
      <c r="E584" s="2"/>
      <c r="F584" s="2"/>
      <c r="G584" s="3"/>
      <c r="H584" s="2"/>
      <c r="I584" s="2"/>
      <c r="J584" s="2"/>
    </row>
    <row r="585" spans="1:10" ht="15" thickBot="1" x14ac:dyDescent="0.35">
      <c r="A585" s="1"/>
      <c r="B585" s="2"/>
      <c r="C585" s="2"/>
      <c r="D585" s="2"/>
      <c r="E585" s="2"/>
      <c r="F585" s="2"/>
      <c r="G585" s="3"/>
      <c r="H585" s="2"/>
      <c r="I585" s="2"/>
      <c r="J585" s="2"/>
    </row>
    <row r="586" spans="1:10" ht="15" thickBot="1" x14ac:dyDescent="0.35">
      <c r="A586" s="1"/>
      <c r="B586" s="2"/>
      <c r="C586" s="2"/>
      <c r="D586" s="2"/>
      <c r="E586" s="2"/>
      <c r="F586" s="2"/>
      <c r="G586" s="3"/>
      <c r="H586" s="2"/>
      <c r="I586" s="2"/>
      <c r="J586" s="2"/>
    </row>
    <row r="587" spans="1:10" ht="15" thickBot="1" x14ac:dyDescent="0.35">
      <c r="A587" s="1"/>
      <c r="B587" s="2"/>
      <c r="C587" s="2"/>
      <c r="D587" s="2"/>
      <c r="E587" s="2"/>
      <c r="F587" s="2"/>
      <c r="G587" s="3"/>
      <c r="H587" s="2"/>
      <c r="I587" s="2"/>
      <c r="J587" s="2"/>
    </row>
    <row r="588" spans="1:10" ht="15" thickBot="1" x14ac:dyDescent="0.35">
      <c r="A588" s="1"/>
      <c r="B588" s="2"/>
      <c r="C588" s="2"/>
      <c r="D588" s="2"/>
      <c r="E588" s="2"/>
      <c r="F588" s="2"/>
      <c r="G588" s="3"/>
      <c r="H588" s="2"/>
      <c r="I588" s="2"/>
      <c r="J588" s="2"/>
    </row>
    <row r="589" spans="1:10" ht="15" thickBot="1" x14ac:dyDescent="0.35">
      <c r="A589" s="1"/>
      <c r="B589" s="2"/>
      <c r="C589" s="2"/>
      <c r="D589" s="2"/>
      <c r="E589" s="2"/>
      <c r="F589" s="2"/>
      <c r="G589" s="3"/>
      <c r="H589" s="2"/>
      <c r="I589" s="2"/>
      <c r="J589" s="2"/>
    </row>
    <row r="590" spans="1:10" ht="15" thickBot="1" x14ac:dyDescent="0.35">
      <c r="A590" s="1"/>
      <c r="B590" s="2"/>
      <c r="C590" s="2"/>
      <c r="D590" s="2"/>
      <c r="E590" s="2"/>
      <c r="F590" s="2"/>
      <c r="G590" s="3"/>
      <c r="H590" s="2"/>
      <c r="I590" s="2"/>
      <c r="J590" s="2"/>
    </row>
    <row r="591" spans="1:10" ht="15" thickBot="1" x14ac:dyDescent="0.35">
      <c r="A591" s="1"/>
      <c r="B591" s="2"/>
      <c r="C591" s="2"/>
      <c r="D591" s="2"/>
      <c r="E591" s="2"/>
      <c r="F591" s="2"/>
      <c r="G591" s="3"/>
      <c r="H591" s="2"/>
      <c r="I591" s="2"/>
      <c r="J591" s="2"/>
    </row>
    <row r="592" spans="1:10" ht="15" thickBot="1" x14ac:dyDescent="0.35">
      <c r="A592" s="1"/>
      <c r="B592" s="2"/>
      <c r="C592" s="2"/>
      <c r="D592" s="2"/>
      <c r="E592" s="2"/>
      <c r="F592" s="2"/>
      <c r="G592" s="3"/>
      <c r="H592" s="2"/>
      <c r="I592" s="2"/>
      <c r="J592" s="2"/>
    </row>
    <row r="593" spans="1:10" ht="15" thickBot="1" x14ac:dyDescent="0.35">
      <c r="A593" s="1"/>
      <c r="B593" s="2"/>
      <c r="C593" s="2"/>
      <c r="D593" s="2"/>
      <c r="E593" s="2"/>
      <c r="F593" s="2"/>
      <c r="G593" s="3"/>
      <c r="H593" s="2"/>
      <c r="I593" s="2"/>
      <c r="J593" s="2"/>
    </row>
    <row r="594" spans="1:10" ht="15" thickBot="1" x14ac:dyDescent="0.35">
      <c r="A594" s="1"/>
      <c r="B594" s="2"/>
      <c r="C594" s="2"/>
      <c r="D594" s="2"/>
      <c r="E594" s="2"/>
      <c r="F594" s="2"/>
      <c r="G594" s="3"/>
      <c r="H594" s="2"/>
      <c r="I594" s="2"/>
      <c r="J594" s="2"/>
    </row>
    <row r="595" spans="1:10" ht="15" thickBot="1" x14ac:dyDescent="0.35">
      <c r="A595" s="1"/>
      <c r="B595" s="2"/>
      <c r="C595" s="2"/>
      <c r="D595" s="2"/>
      <c r="E595" s="2"/>
      <c r="F595" s="2"/>
      <c r="G595" s="3"/>
      <c r="H595" s="2"/>
      <c r="I595" s="2"/>
      <c r="J595" s="2"/>
    </row>
    <row r="596" spans="1:10" ht="15" thickBot="1" x14ac:dyDescent="0.35">
      <c r="A596" s="1"/>
      <c r="B596" s="2"/>
      <c r="C596" s="2"/>
      <c r="D596" s="2"/>
      <c r="E596" s="2"/>
      <c r="F596" s="2"/>
      <c r="G596" s="3"/>
      <c r="H596" s="2"/>
      <c r="I596" s="2"/>
      <c r="J596" s="2"/>
    </row>
    <row r="597" spans="1:10" ht="15" thickBot="1" x14ac:dyDescent="0.35">
      <c r="A597" s="1"/>
      <c r="B597" s="2"/>
      <c r="C597" s="2"/>
      <c r="D597" s="2"/>
      <c r="E597" s="2"/>
      <c r="F597" s="2"/>
      <c r="G597" s="3"/>
      <c r="H597" s="2"/>
      <c r="I597" s="2"/>
      <c r="J597" s="2"/>
    </row>
    <row r="598" spans="1:10" ht="15" thickBot="1" x14ac:dyDescent="0.35">
      <c r="A598" s="1"/>
      <c r="B598" s="2"/>
      <c r="C598" s="2"/>
      <c r="D598" s="2"/>
      <c r="E598" s="2"/>
      <c r="F598" s="2"/>
      <c r="G598" s="3"/>
      <c r="H598" s="2"/>
      <c r="I598" s="2"/>
      <c r="J598" s="2"/>
    </row>
    <row r="599" spans="1:10" ht="15" thickBot="1" x14ac:dyDescent="0.35">
      <c r="A599" s="1"/>
      <c r="B599" s="2"/>
      <c r="C599" s="2"/>
      <c r="D599" s="2"/>
      <c r="E599" s="2"/>
      <c r="F599" s="2"/>
      <c r="G599" s="3"/>
      <c r="H599" s="2"/>
      <c r="I599" s="2"/>
      <c r="J599" s="2"/>
    </row>
    <row r="600" spans="1:10" ht="15" thickBot="1" x14ac:dyDescent="0.35">
      <c r="A600" s="1"/>
      <c r="B600" s="2"/>
      <c r="C600" s="2"/>
      <c r="D600" s="2"/>
      <c r="E600" s="2"/>
      <c r="F600" s="2"/>
      <c r="G600" s="3"/>
      <c r="H600" s="2"/>
      <c r="I600" s="2"/>
      <c r="J600" s="2"/>
    </row>
    <row r="601" spans="1:10" ht="15" thickBot="1" x14ac:dyDescent="0.35">
      <c r="A601" s="1"/>
      <c r="B601" s="2"/>
      <c r="C601" s="2"/>
      <c r="D601" s="2"/>
      <c r="E601" s="2"/>
      <c r="F601" s="2"/>
      <c r="G601" s="3"/>
      <c r="H601" s="2"/>
      <c r="I601" s="2"/>
      <c r="J601" s="2"/>
    </row>
    <row r="602" spans="1:10" ht="15" thickBot="1" x14ac:dyDescent="0.35">
      <c r="A602" s="1"/>
      <c r="B602" s="2"/>
      <c r="C602" s="2"/>
      <c r="D602" s="2"/>
      <c r="E602" s="2"/>
      <c r="F602" s="2"/>
      <c r="G602" s="3"/>
      <c r="H602" s="2"/>
      <c r="I602" s="2"/>
      <c r="J602" s="2"/>
    </row>
    <row r="603" spans="1:10" ht="15" thickBot="1" x14ac:dyDescent="0.35">
      <c r="A603" s="1"/>
      <c r="B603" s="2"/>
      <c r="C603" s="2"/>
      <c r="D603" s="2"/>
      <c r="E603" s="2"/>
      <c r="F603" s="2"/>
      <c r="G603" s="3"/>
      <c r="H603" s="2"/>
      <c r="I603" s="2"/>
      <c r="J603" s="2"/>
    </row>
    <row r="604" spans="1:10" ht="15" thickBot="1" x14ac:dyDescent="0.35">
      <c r="A604" s="1"/>
      <c r="B604" s="2"/>
      <c r="C604" s="2"/>
      <c r="D604" s="2"/>
      <c r="E604" s="2"/>
      <c r="F604" s="2"/>
      <c r="G604" s="3"/>
      <c r="H604" s="2"/>
      <c r="I604" s="2"/>
      <c r="J604" s="2"/>
    </row>
    <row r="605" spans="1:10" ht="15" thickBot="1" x14ac:dyDescent="0.35">
      <c r="A605" s="1"/>
      <c r="B605" s="2"/>
      <c r="C605" s="2"/>
      <c r="D605" s="2"/>
      <c r="E605" s="2"/>
      <c r="F605" s="2"/>
      <c r="G605" s="3"/>
      <c r="H605" s="2"/>
      <c r="I605" s="2"/>
      <c r="J605" s="2"/>
    </row>
    <row r="606" spans="1:10" ht="15" thickBot="1" x14ac:dyDescent="0.35">
      <c r="A606" s="1"/>
      <c r="B606" s="2"/>
      <c r="C606" s="2"/>
      <c r="D606" s="2"/>
      <c r="E606" s="2"/>
      <c r="F606" s="2"/>
      <c r="G606" s="3"/>
      <c r="H606" s="2"/>
      <c r="I606" s="2"/>
      <c r="J606" s="2"/>
    </row>
    <row r="607" spans="1:10" ht="15" thickBot="1" x14ac:dyDescent="0.35">
      <c r="A607" s="1"/>
      <c r="B607" s="2"/>
      <c r="C607" s="2"/>
      <c r="D607" s="2"/>
      <c r="E607" s="2"/>
      <c r="F607" s="2"/>
      <c r="G607" s="3"/>
      <c r="H607" s="2"/>
      <c r="I607" s="2"/>
      <c r="J607" s="2"/>
    </row>
    <row r="608" spans="1:10" ht="15" thickBot="1" x14ac:dyDescent="0.35">
      <c r="A608" s="1"/>
      <c r="B608" s="2"/>
      <c r="C608" s="2"/>
      <c r="D608" s="2"/>
      <c r="E608" s="2"/>
      <c r="F608" s="2"/>
      <c r="G608" s="3"/>
      <c r="H608" s="2"/>
      <c r="I608" s="2"/>
      <c r="J608" s="2"/>
    </row>
    <row r="609" spans="1:10" ht="15" thickBot="1" x14ac:dyDescent="0.35">
      <c r="A609" s="1"/>
      <c r="B609" s="2"/>
      <c r="C609" s="2"/>
      <c r="D609" s="2"/>
      <c r="E609" s="2"/>
      <c r="F609" s="2"/>
      <c r="G609" s="3"/>
      <c r="H609" s="2"/>
      <c r="I609" s="2"/>
      <c r="J609" s="2"/>
    </row>
    <row r="610" spans="1:10" ht="15" thickBot="1" x14ac:dyDescent="0.35">
      <c r="A610" s="1"/>
      <c r="B610" s="2"/>
      <c r="C610" s="2"/>
      <c r="D610" s="2"/>
      <c r="E610" s="2"/>
      <c r="F610" s="2"/>
      <c r="G610" s="3"/>
      <c r="H610" s="2"/>
      <c r="I610" s="2"/>
      <c r="J610" s="2"/>
    </row>
    <row r="611" spans="1:10" ht="15" thickBot="1" x14ac:dyDescent="0.35">
      <c r="A611" s="1"/>
      <c r="B611" s="2"/>
      <c r="C611" s="2"/>
      <c r="D611" s="2"/>
      <c r="E611" s="2"/>
      <c r="F611" s="2"/>
      <c r="G611" s="3"/>
      <c r="H611" s="2"/>
      <c r="I611" s="2"/>
      <c r="J611" s="2"/>
    </row>
    <row r="612" spans="1:10" ht="15" thickBot="1" x14ac:dyDescent="0.35">
      <c r="A612" s="1"/>
      <c r="B612" s="2"/>
      <c r="C612" s="2"/>
      <c r="D612" s="2"/>
      <c r="E612" s="2"/>
      <c r="F612" s="2"/>
      <c r="G612" s="3"/>
      <c r="H612" s="2"/>
      <c r="I612" s="2"/>
      <c r="J612" s="2"/>
    </row>
    <row r="613" spans="1:10" ht="15" thickBot="1" x14ac:dyDescent="0.35">
      <c r="A613" s="1"/>
      <c r="B613" s="2"/>
      <c r="C613" s="2"/>
      <c r="D613" s="2"/>
      <c r="E613" s="2"/>
      <c r="F613" s="2"/>
      <c r="G613" s="3"/>
      <c r="H613" s="2"/>
      <c r="I613" s="2"/>
      <c r="J613" s="2"/>
    </row>
    <row r="614" spans="1:10" ht="15" thickBot="1" x14ac:dyDescent="0.35">
      <c r="A614" s="1"/>
      <c r="B614" s="2"/>
      <c r="C614" s="2"/>
      <c r="D614" s="2"/>
      <c r="E614" s="2"/>
      <c r="F614" s="2"/>
      <c r="G614" s="3"/>
      <c r="H614" s="2"/>
      <c r="I614" s="2"/>
      <c r="J614" s="2"/>
    </row>
    <row r="615" spans="1:10" ht="15" thickBot="1" x14ac:dyDescent="0.35">
      <c r="A615" s="1"/>
      <c r="B615" s="2"/>
      <c r="C615" s="2"/>
      <c r="D615" s="2"/>
      <c r="E615" s="2"/>
      <c r="F615" s="2"/>
      <c r="G615" s="3"/>
      <c r="H615" s="2"/>
      <c r="I615" s="2"/>
      <c r="J615" s="2"/>
    </row>
    <row r="616" spans="1:10" ht="15" thickBot="1" x14ac:dyDescent="0.35">
      <c r="A616" s="1"/>
      <c r="B616" s="2"/>
      <c r="C616" s="2"/>
      <c r="D616" s="2"/>
      <c r="E616" s="2"/>
      <c r="F616" s="2"/>
      <c r="G616" s="3"/>
      <c r="H616" s="2"/>
      <c r="I616" s="2"/>
      <c r="J616" s="2"/>
    </row>
    <row r="617" spans="1:10" ht="15" thickBot="1" x14ac:dyDescent="0.35">
      <c r="A617" s="1"/>
      <c r="B617" s="2"/>
      <c r="C617" s="2"/>
      <c r="D617" s="2"/>
      <c r="E617" s="2"/>
      <c r="F617" s="2"/>
      <c r="G617" s="3"/>
      <c r="H617" s="2"/>
      <c r="I617" s="2"/>
      <c r="J617" s="2"/>
    </row>
    <row r="618" spans="1:10" ht="15" thickBot="1" x14ac:dyDescent="0.35">
      <c r="A618" s="1"/>
      <c r="B618" s="2"/>
      <c r="C618" s="2"/>
      <c r="D618" s="2"/>
      <c r="E618" s="2"/>
      <c r="F618" s="2"/>
      <c r="G618" s="3"/>
      <c r="H618" s="2"/>
      <c r="I618" s="2"/>
      <c r="J618" s="2"/>
    </row>
    <row r="619" spans="1:10" ht="15" thickBot="1" x14ac:dyDescent="0.35">
      <c r="A619" s="1"/>
      <c r="B619" s="2"/>
      <c r="C619" s="2"/>
      <c r="D619" s="2"/>
      <c r="E619" s="2"/>
      <c r="F619" s="2"/>
      <c r="G619" s="3"/>
      <c r="H619" s="2"/>
      <c r="I619" s="2"/>
      <c r="J619" s="2"/>
    </row>
    <row r="620" spans="1:10" ht="15" thickBot="1" x14ac:dyDescent="0.35">
      <c r="A620" s="1"/>
      <c r="B620" s="2"/>
      <c r="C620" s="2"/>
      <c r="D620" s="2"/>
      <c r="E620" s="2"/>
      <c r="F620" s="2"/>
      <c r="G620" s="3"/>
      <c r="H620" s="2"/>
      <c r="I620" s="2"/>
      <c r="J620" s="2"/>
    </row>
    <row r="621" spans="1:10" ht="15" thickBot="1" x14ac:dyDescent="0.35">
      <c r="A621" s="1"/>
      <c r="B621" s="2"/>
      <c r="C621" s="2"/>
      <c r="D621" s="2"/>
      <c r="E621" s="2"/>
      <c r="F621" s="2"/>
      <c r="G621" s="3"/>
      <c r="H621" s="2"/>
      <c r="I621" s="2"/>
      <c r="J621" s="2"/>
    </row>
    <row r="622" spans="1:10" ht="15" thickBot="1" x14ac:dyDescent="0.35">
      <c r="A622" s="1"/>
      <c r="B622" s="2"/>
      <c r="C622" s="2"/>
      <c r="D622" s="2"/>
      <c r="E622" s="2"/>
      <c r="F622" s="2"/>
      <c r="G622" s="3"/>
      <c r="H622" s="2"/>
      <c r="I622" s="2"/>
      <c r="J622" s="2"/>
    </row>
    <row r="623" spans="1:10" ht="15" thickBot="1" x14ac:dyDescent="0.35">
      <c r="A623" s="1"/>
      <c r="B623" s="2"/>
      <c r="C623" s="2"/>
      <c r="D623" s="2"/>
      <c r="E623" s="2"/>
      <c r="F623" s="2"/>
      <c r="G623" s="3"/>
      <c r="H623" s="2"/>
      <c r="I623" s="2"/>
      <c r="J623" s="2"/>
    </row>
    <row r="624" spans="1:10" ht="15" thickBot="1" x14ac:dyDescent="0.35">
      <c r="A624" s="1"/>
      <c r="B624" s="2"/>
      <c r="C624" s="2"/>
      <c r="D624" s="2"/>
      <c r="E624" s="2"/>
      <c r="F624" s="2"/>
      <c r="G624" s="3"/>
      <c r="H624" s="2"/>
      <c r="I624" s="2"/>
      <c r="J624" s="2"/>
    </row>
    <row r="625" spans="1:10" ht="15" thickBot="1" x14ac:dyDescent="0.35">
      <c r="A625" s="1"/>
      <c r="B625" s="2"/>
      <c r="C625" s="2"/>
      <c r="D625" s="2"/>
      <c r="E625" s="2"/>
      <c r="F625" s="2"/>
      <c r="G625" s="3"/>
      <c r="H625" s="2"/>
      <c r="I625" s="2"/>
      <c r="J625" s="2"/>
    </row>
    <row r="626" spans="1:10" ht="15" thickBot="1" x14ac:dyDescent="0.35">
      <c r="A626" s="1"/>
      <c r="B626" s="2"/>
      <c r="C626" s="2"/>
      <c r="D626" s="2"/>
      <c r="E626" s="2"/>
      <c r="F626" s="2"/>
      <c r="G626" s="3"/>
      <c r="H626" s="2"/>
      <c r="I626" s="2"/>
      <c r="J626" s="2"/>
    </row>
    <row r="627" spans="1:10" ht="15" thickBot="1" x14ac:dyDescent="0.35">
      <c r="A627" s="1"/>
      <c r="B627" s="2"/>
      <c r="C627" s="2"/>
      <c r="D627" s="2"/>
      <c r="E627" s="2"/>
      <c r="F627" s="2"/>
      <c r="G627" s="3"/>
      <c r="H627" s="2"/>
      <c r="I627" s="2"/>
      <c r="J627" s="2"/>
    </row>
    <row r="628" spans="1:10" ht="15" thickBot="1" x14ac:dyDescent="0.35">
      <c r="A628" s="1"/>
      <c r="B628" s="2"/>
      <c r="C628" s="2"/>
      <c r="D628" s="2"/>
      <c r="E628" s="2"/>
      <c r="F628" s="2"/>
      <c r="G628" s="3"/>
      <c r="H628" s="2"/>
      <c r="I628" s="2"/>
      <c r="J628" s="2"/>
    </row>
    <row r="629" spans="1:10" ht="15" thickBot="1" x14ac:dyDescent="0.35">
      <c r="A629" s="1"/>
      <c r="B629" s="2"/>
      <c r="C629" s="2"/>
      <c r="D629" s="2"/>
      <c r="E629" s="2"/>
      <c r="F629" s="2"/>
      <c r="G629" s="3"/>
      <c r="H629" s="2"/>
      <c r="I629" s="2"/>
      <c r="J629" s="2"/>
    </row>
    <row r="630" spans="1:10" ht="15" thickBot="1" x14ac:dyDescent="0.35">
      <c r="A630" s="1"/>
      <c r="B630" s="2"/>
      <c r="C630" s="2"/>
      <c r="D630" s="2"/>
      <c r="E630" s="2"/>
      <c r="F630" s="2"/>
      <c r="G630" s="3"/>
      <c r="H630" s="2"/>
      <c r="I630" s="2"/>
      <c r="J630" s="2"/>
    </row>
    <row r="631" spans="1:10" ht="15" thickBot="1" x14ac:dyDescent="0.35">
      <c r="A631" s="1"/>
      <c r="B631" s="2"/>
      <c r="C631" s="2"/>
      <c r="D631" s="2"/>
      <c r="E631" s="2"/>
      <c r="F631" s="2"/>
      <c r="G631" s="3"/>
      <c r="H631" s="2"/>
      <c r="I631" s="2"/>
      <c r="J631" s="2"/>
    </row>
    <row r="632" spans="1:10" ht="15" thickBot="1" x14ac:dyDescent="0.35">
      <c r="A632" s="1"/>
      <c r="B632" s="2"/>
      <c r="C632" s="2"/>
      <c r="D632" s="2"/>
      <c r="E632" s="2"/>
      <c r="F632" s="2"/>
      <c r="G632" s="3"/>
      <c r="H632" s="2"/>
      <c r="I632" s="2"/>
      <c r="J632" s="2"/>
    </row>
    <row r="633" spans="1:10" ht="15" thickBot="1" x14ac:dyDescent="0.35">
      <c r="A633" s="1"/>
      <c r="B633" s="2"/>
      <c r="C633" s="2"/>
      <c r="D633" s="2"/>
      <c r="E633" s="2"/>
      <c r="F633" s="2"/>
      <c r="G633" s="3"/>
      <c r="H633" s="2"/>
      <c r="I633" s="2"/>
      <c r="J633" s="2"/>
    </row>
    <row r="634" spans="1:10" ht="15" thickBot="1" x14ac:dyDescent="0.35">
      <c r="A634" s="1"/>
      <c r="B634" s="2"/>
      <c r="C634" s="2"/>
      <c r="D634" s="2"/>
      <c r="E634" s="2"/>
      <c r="F634" s="2"/>
      <c r="G634" s="3"/>
      <c r="H634" s="2"/>
      <c r="I634" s="2"/>
      <c r="J634" s="2"/>
    </row>
    <row r="635" spans="1:10" ht="15" thickBot="1" x14ac:dyDescent="0.35">
      <c r="A635" s="1"/>
      <c r="B635" s="2"/>
      <c r="C635" s="2"/>
      <c r="D635" s="2"/>
      <c r="E635" s="2"/>
      <c r="F635" s="2"/>
      <c r="G635" s="3"/>
      <c r="H635" s="2"/>
      <c r="I635" s="2"/>
      <c r="J635" s="2"/>
    </row>
    <row r="636" spans="1:10" ht="15" thickBot="1" x14ac:dyDescent="0.35">
      <c r="A636" s="1"/>
      <c r="B636" s="2"/>
      <c r="C636" s="2"/>
      <c r="D636" s="2"/>
      <c r="E636" s="2"/>
      <c r="F636" s="2"/>
      <c r="G636" s="3"/>
      <c r="H636" s="2"/>
      <c r="I636" s="2"/>
      <c r="J636" s="2"/>
    </row>
    <row r="637" spans="1:10" ht="15" thickBot="1" x14ac:dyDescent="0.35">
      <c r="A637" s="1"/>
      <c r="B637" s="2"/>
      <c r="C637" s="2"/>
      <c r="D637" s="2"/>
      <c r="E637" s="2"/>
      <c r="F637" s="2"/>
      <c r="G637" s="3"/>
      <c r="H637" s="2"/>
      <c r="I637" s="2"/>
      <c r="J637" s="2"/>
    </row>
    <row r="638" spans="1:10" ht="15" thickBot="1" x14ac:dyDescent="0.35">
      <c r="A638" s="1"/>
      <c r="B638" s="2"/>
      <c r="C638" s="2"/>
      <c r="D638" s="2"/>
      <c r="E638" s="2"/>
      <c r="F638" s="2"/>
      <c r="G638" s="3"/>
      <c r="H638" s="2"/>
      <c r="I638" s="2"/>
      <c r="J638" s="2"/>
    </row>
    <row r="639" spans="1:10" ht="15" thickBot="1" x14ac:dyDescent="0.35">
      <c r="A639" s="1"/>
      <c r="B639" s="2"/>
      <c r="C639" s="2"/>
      <c r="D639" s="2"/>
      <c r="E639" s="2"/>
      <c r="F639" s="2"/>
      <c r="G639" s="3"/>
      <c r="H639" s="2"/>
      <c r="I639" s="2"/>
      <c r="J639" s="2"/>
    </row>
    <row r="640" spans="1:10" ht="15" thickBot="1" x14ac:dyDescent="0.35">
      <c r="A640" s="1"/>
      <c r="B640" s="2"/>
      <c r="C640" s="2"/>
      <c r="D640" s="2"/>
      <c r="E640" s="2"/>
      <c r="F640" s="2"/>
      <c r="G640" s="3"/>
      <c r="H640" s="2"/>
      <c r="I640" s="2"/>
      <c r="J640" s="2"/>
    </row>
    <row r="641" spans="1:10" ht="15" thickBot="1" x14ac:dyDescent="0.35">
      <c r="A641" s="1"/>
      <c r="B641" s="2"/>
      <c r="C641" s="2"/>
      <c r="D641" s="2"/>
      <c r="E641" s="2"/>
      <c r="F641" s="2"/>
      <c r="G641" s="3"/>
      <c r="H641" s="2"/>
      <c r="I641" s="2"/>
      <c r="J641" s="2"/>
    </row>
    <row r="642" spans="1:10" ht="15" thickBot="1" x14ac:dyDescent="0.35">
      <c r="A642" s="1"/>
      <c r="B642" s="2"/>
      <c r="C642" s="2"/>
      <c r="D642" s="2"/>
      <c r="E642" s="2"/>
      <c r="F642" s="2"/>
      <c r="G642" s="3"/>
      <c r="H642" s="2"/>
      <c r="I642" s="2"/>
      <c r="J642" s="2"/>
    </row>
    <row r="643" spans="1:10" ht="15" thickBot="1" x14ac:dyDescent="0.35">
      <c r="A643" s="1"/>
      <c r="B643" s="2"/>
      <c r="C643" s="2"/>
      <c r="D643" s="2"/>
      <c r="E643" s="2"/>
      <c r="F643" s="2"/>
      <c r="G643" s="3"/>
      <c r="H643" s="2"/>
      <c r="I643" s="2"/>
      <c r="J643" s="2"/>
    </row>
    <row r="644" spans="1:10" ht="15" thickBot="1" x14ac:dyDescent="0.35">
      <c r="A644" s="1"/>
      <c r="B644" s="2"/>
      <c r="C644" s="2"/>
      <c r="D644" s="2"/>
      <c r="E644" s="2"/>
      <c r="F644" s="2"/>
      <c r="G644" s="3"/>
      <c r="H644" s="2"/>
      <c r="I644" s="2"/>
      <c r="J644" s="2"/>
    </row>
    <row r="645" spans="1:10" ht="15" thickBot="1" x14ac:dyDescent="0.35">
      <c r="A645" s="1"/>
      <c r="B645" s="2"/>
      <c r="C645" s="2"/>
      <c r="D645" s="2"/>
      <c r="E645" s="2"/>
      <c r="F645" s="2"/>
      <c r="G645" s="3"/>
      <c r="H645" s="2"/>
      <c r="I645" s="2"/>
      <c r="J645" s="2"/>
    </row>
    <row r="646" spans="1:10" ht="15" thickBot="1" x14ac:dyDescent="0.35">
      <c r="A646" s="1"/>
      <c r="B646" s="2"/>
      <c r="C646" s="2"/>
      <c r="D646" s="2"/>
      <c r="E646" s="2"/>
      <c r="F646" s="2"/>
      <c r="G646" s="3"/>
      <c r="H646" s="2"/>
      <c r="I646" s="2"/>
      <c r="J646" s="2"/>
    </row>
    <row r="647" spans="1:10" ht="15" thickBot="1" x14ac:dyDescent="0.35">
      <c r="A647" s="1"/>
      <c r="B647" s="2"/>
      <c r="C647" s="2"/>
      <c r="D647" s="2"/>
      <c r="E647" s="2"/>
      <c r="F647" s="2"/>
      <c r="G647" s="3"/>
      <c r="H647" s="2"/>
      <c r="I647" s="2"/>
      <c r="J647" s="2"/>
    </row>
    <row r="648" spans="1:10" ht="15" thickBot="1" x14ac:dyDescent="0.35">
      <c r="A648" s="1"/>
      <c r="B648" s="2"/>
      <c r="C648" s="2"/>
      <c r="D648" s="2"/>
      <c r="E648" s="2"/>
      <c r="F648" s="2"/>
      <c r="G648" s="3"/>
      <c r="H648" s="2"/>
      <c r="I648" s="2"/>
      <c r="J648" s="2"/>
    </row>
    <row r="649" spans="1:10" ht="15" thickBot="1" x14ac:dyDescent="0.35">
      <c r="A649" s="1"/>
      <c r="B649" s="2"/>
      <c r="C649" s="2"/>
      <c r="D649" s="2"/>
      <c r="E649" s="2"/>
      <c r="F649" s="2"/>
      <c r="G649" s="3"/>
      <c r="H649" s="2"/>
      <c r="I649" s="2"/>
      <c r="J649" s="2"/>
    </row>
    <row r="650" spans="1:10" ht="15" thickBot="1" x14ac:dyDescent="0.35">
      <c r="A650" s="1"/>
      <c r="B650" s="2"/>
      <c r="C650" s="2"/>
      <c r="D650" s="2"/>
      <c r="E650" s="2"/>
      <c r="F650" s="2"/>
      <c r="G650" s="3"/>
      <c r="H650" s="2"/>
      <c r="I650" s="2"/>
      <c r="J650" s="2"/>
    </row>
    <row r="651" spans="1:10" ht="15" thickBot="1" x14ac:dyDescent="0.35">
      <c r="A651" s="1"/>
      <c r="B651" s="2"/>
      <c r="C651" s="2"/>
      <c r="D651" s="2"/>
      <c r="E651" s="2"/>
      <c r="F651" s="2"/>
      <c r="G651" s="3"/>
      <c r="H651" s="2"/>
      <c r="I651" s="2"/>
      <c r="J651" s="2"/>
    </row>
    <row r="652" spans="1:10" ht="15" thickBot="1" x14ac:dyDescent="0.35">
      <c r="A652" s="1"/>
      <c r="B652" s="2"/>
      <c r="C652" s="2"/>
      <c r="D652" s="2"/>
      <c r="E652" s="2"/>
      <c r="F652" s="2"/>
      <c r="G652" s="3"/>
      <c r="H652" s="2"/>
      <c r="I652" s="2"/>
      <c r="J652" s="2"/>
    </row>
    <row r="653" spans="1:10" ht="15" thickBot="1" x14ac:dyDescent="0.35">
      <c r="A653" s="1"/>
      <c r="B653" s="2"/>
      <c r="C653" s="2"/>
      <c r="D653" s="2"/>
      <c r="E653" s="2"/>
      <c r="F653" s="2"/>
      <c r="G653" s="3"/>
      <c r="H653" s="2"/>
      <c r="I653" s="2"/>
      <c r="J653" s="2"/>
    </row>
    <row r="654" spans="1:10" ht="15" thickBot="1" x14ac:dyDescent="0.35">
      <c r="A654" s="1"/>
      <c r="B654" s="2"/>
      <c r="C654" s="2"/>
      <c r="D654" s="2"/>
      <c r="E654" s="2"/>
      <c r="F654" s="2"/>
      <c r="G654" s="3"/>
      <c r="H654" s="2"/>
      <c r="I654" s="2"/>
      <c r="J654" s="2"/>
    </row>
    <row r="655" spans="1:10" ht="15" thickBot="1" x14ac:dyDescent="0.35">
      <c r="A655" s="1"/>
      <c r="B655" s="2"/>
      <c r="C655" s="2"/>
      <c r="D655" s="2"/>
      <c r="E655" s="2"/>
      <c r="F655" s="2"/>
      <c r="G655" s="3"/>
      <c r="H655" s="2"/>
      <c r="I655" s="2"/>
      <c r="J655" s="2"/>
    </row>
    <row r="656" spans="1:10" ht="15" thickBot="1" x14ac:dyDescent="0.35">
      <c r="A656" s="1"/>
      <c r="B656" s="2"/>
      <c r="C656" s="2"/>
      <c r="D656" s="2"/>
      <c r="E656" s="2"/>
      <c r="F656" s="2"/>
      <c r="G656" s="3"/>
      <c r="H656" s="2"/>
      <c r="I656" s="2"/>
      <c r="J656" s="2"/>
    </row>
    <row r="657" spans="1:10" ht="15" thickBot="1" x14ac:dyDescent="0.35">
      <c r="A657" s="1"/>
      <c r="B657" s="2"/>
      <c r="C657" s="2"/>
      <c r="D657" s="2"/>
      <c r="E657" s="2"/>
      <c r="F657" s="2"/>
      <c r="G657" s="3"/>
      <c r="H657" s="2"/>
      <c r="I657" s="2"/>
      <c r="J657" s="2"/>
    </row>
    <row r="658" spans="1:10" ht="15" thickBot="1" x14ac:dyDescent="0.35">
      <c r="A658" s="1"/>
      <c r="B658" s="2"/>
      <c r="C658" s="2"/>
      <c r="D658" s="2"/>
      <c r="E658" s="2"/>
      <c r="F658" s="2"/>
      <c r="G658" s="3"/>
      <c r="H658" s="2"/>
      <c r="I658" s="2"/>
      <c r="J658" s="2"/>
    </row>
    <row r="659" spans="1:10" ht="15" thickBot="1" x14ac:dyDescent="0.35">
      <c r="A659" s="1"/>
      <c r="B659" s="2"/>
      <c r="C659" s="2"/>
      <c r="D659" s="2"/>
      <c r="E659" s="2"/>
      <c r="F659" s="2"/>
      <c r="G659" s="3"/>
      <c r="H659" s="2"/>
      <c r="I659" s="2"/>
      <c r="J659" s="2"/>
    </row>
    <row r="660" spans="1:10" ht="15" thickBot="1" x14ac:dyDescent="0.35">
      <c r="A660" s="1"/>
      <c r="B660" s="2"/>
      <c r="C660" s="2"/>
      <c r="D660" s="2"/>
      <c r="E660" s="2"/>
      <c r="F660" s="2"/>
      <c r="G660" s="3"/>
      <c r="H660" s="2"/>
      <c r="I660" s="2"/>
      <c r="J660" s="2"/>
    </row>
    <row r="661" spans="1:10" ht="15" thickBot="1" x14ac:dyDescent="0.35">
      <c r="A661" s="1"/>
      <c r="B661" s="2"/>
      <c r="C661" s="2"/>
      <c r="D661" s="2"/>
      <c r="E661" s="2"/>
      <c r="F661" s="2"/>
      <c r="G661" s="3"/>
      <c r="H661" s="2"/>
      <c r="I661" s="2"/>
      <c r="J661" s="2"/>
    </row>
    <row r="662" spans="1:10" ht="15" thickBot="1" x14ac:dyDescent="0.35">
      <c r="A662" s="1"/>
      <c r="B662" s="2"/>
      <c r="C662" s="2"/>
      <c r="D662" s="2"/>
      <c r="E662" s="2"/>
      <c r="F662" s="2"/>
      <c r="G662" s="3"/>
      <c r="H662" s="2"/>
      <c r="I662" s="2"/>
      <c r="J662" s="2"/>
    </row>
    <row r="663" spans="1:10" ht="15" thickBot="1" x14ac:dyDescent="0.35">
      <c r="A663" s="1"/>
      <c r="B663" s="2"/>
      <c r="C663" s="2"/>
      <c r="D663" s="2"/>
      <c r="E663" s="2"/>
      <c r="F663" s="2"/>
      <c r="G663" s="3"/>
      <c r="H663" s="2"/>
      <c r="I663" s="2"/>
      <c r="J663" s="2"/>
    </row>
    <row r="664" spans="1:10" ht="15" thickBot="1" x14ac:dyDescent="0.35">
      <c r="A664" s="1"/>
      <c r="B664" s="2"/>
      <c r="C664" s="2"/>
      <c r="D664" s="2"/>
      <c r="E664" s="2"/>
      <c r="F664" s="2"/>
      <c r="G664" s="3"/>
      <c r="H664" s="2"/>
      <c r="I664" s="2"/>
      <c r="J664" s="2"/>
    </row>
    <row r="665" spans="1:10" ht="15" thickBot="1" x14ac:dyDescent="0.35">
      <c r="A665" s="1"/>
      <c r="B665" s="2"/>
      <c r="C665" s="2"/>
      <c r="D665" s="2"/>
      <c r="E665" s="2"/>
      <c r="F665" s="2"/>
      <c r="G665" s="3"/>
      <c r="H665" s="2"/>
      <c r="I665" s="2"/>
      <c r="J665" s="2"/>
    </row>
    <row r="666" spans="1:10" ht="15" thickBot="1" x14ac:dyDescent="0.35">
      <c r="A666" s="1"/>
      <c r="B666" s="2"/>
      <c r="C666" s="2"/>
      <c r="D666" s="2"/>
      <c r="E666" s="2"/>
      <c r="F666" s="2"/>
      <c r="G666" s="3"/>
      <c r="H666" s="2"/>
      <c r="I666" s="2"/>
      <c r="J666" s="2"/>
    </row>
    <row r="667" spans="1:10" ht="15" thickBot="1" x14ac:dyDescent="0.35">
      <c r="A667" s="1"/>
      <c r="B667" s="2"/>
      <c r="C667" s="2"/>
      <c r="D667" s="2"/>
      <c r="E667" s="2"/>
      <c r="F667" s="2"/>
      <c r="G667" s="3"/>
      <c r="H667" s="2"/>
      <c r="I667" s="2"/>
      <c r="J667" s="2"/>
    </row>
    <row r="668" spans="1:10" ht="15" thickBot="1" x14ac:dyDescent="0.35">
      <c r="A668" s="1"/>
      <c r="B668" s="2"/>
      <c r="C668" s="2"/>
      <c r="D668" s="2"/>
      <c r="E668" s="2"/>
      <c r="F668" s="2"/>
      <c r="G668" s="3"/>
      <c r="H668" s="2"/>
      <c r="I668" s="2"/>
      <c r="J668" s="2"/>
    </row>
    <row r="669" spans="1:10" ht="15" thickBot="1" x14ac:dyDescent="0.35">
      <c r="A669" s="1"/>
      <c r="B669" s="2"/>
      <c r="C669" s="2"/>
      <c r="D669" s="2"/>
      <c r="E669" s="2"/>
      <c r="F669" s="2"/>
      <c r="G669" s="3"/>
      <c r="H669" s="2"/>
      <c r="I669" s="2"/>
      <c r="J669" s="2"/>
    </row>
    <row r="670" spans="1:10" ht="15" thickBot="1" x14ac:dyDescent="0.35">
      <c r="A670" s="1"/>
      <c r="B670" s="2"/>
      <c r="C670" s="2"/>
      <c r="D670" s="2"/>
      <c r="E670" s="2"/>
      <c r="F670" s="2"/>
      <c r="G670" s="3"/>
      <c r="H670" s="2"/>
      <c r="I670" s="2"/>
      <c r="J670" s="2"/>
    </row>
    <row r="671" spans="1:10" ht="15" thickBot="1" x14ac:dyDescent="0.35">
      <c r="A671" s="1"/>
      <c r="B671" s="2"/>
      <c r="C671" s="2"/>
      <c r="D671" s="2"/>
      <c r="E671" s="2"/>
      <c r="F671" s="2"/>
      <c r="G671" s="3"/>
      <c r="H671" s="2"/>
      <c r="I671" s="2"/>
      <c r="J671" s="2"/>
    </row>
    <row r="672" spans="1:10" ht="15" thickBot="1" x14ac:dyDescent="0.35">
      <c r="A672" s="1"/>
      <c r="B672" s="2"/>
      <c r="C672" s="2"/>
      <c r="D672" s="2"/>
      <c r="E672" s="2"/>
      <c r="F672" s="2"/>
      <c r="G672" s="3"/>
      <c r="H672" s="2"/>
      <c r="I672" s="2"/>
      <c r="J672" s="2"/>
    </row>
    <row r="673" spans="1:10" ht="15" thickBot="1" x14ac:dyDescent="0.35">
      <c r="A673" s="1"/>
      <c r="B673" s="2"/>
      <c r="C673" s="2"/>
      <c r="D673" s="2"/>
      <c r="E673" s="2"/>
      <c r="F673" s="2"/>
      <c r="G673" s="3"/>
      <c r="H673" s="2"/>
      <c r="I673" s="2"/>
      <c r="J673" s="2"/>
    </row>
    <row r="674" spans="1:10" ht="15" thickBot="1" x14ac:dyDescent="0.35">
      <c r="A674" s="1"/>
      <c r="B674" s="2"/>
      <c r="C674" s="2"/>
      <c r="D674" s="2"/>
      <c r="E674" s="2"/>
      <c r="F674" s="2"/>
      <c r="G674" s="3"/>
      <c r="H674" s="2"/>
      <c r="I674" s="2"/>
      <c r="J674" s="2"/>
    </row>
    <row r="675" spans="1:10" ht="15" thickBot="1" x14ac:dyDescent="0.35">
      <c r="A675" s="1"/>
      <c r="B675" s="2"/>
      <c r="C675" s="2"/>
      <c r="D675" s="2"/>
      <c r="E675" s="2"/>
      <c r="F675" s="2"/>
      <c r="G675" s="3"/>
      <c r="H675" s="2"/>
      <c r="I675" s="2"/>
      <c r="J675" s="2"/>
    </row>
    <row r="676" spans="1:10" ht="15" thickBot="1" x14ac:dyDescent="0.35">
      <c r="A676" s="1"/>
      <c r="B676" s="2"/>
      <c r="C676" s="2"/>
      <c r="D676" s="2"/>
      <c r="E676" s="2"/>
      <c r="F676" s="2"/>
      <c r="G676" s="3"/>
      <c r="H676" s="2"/>
      <c r="I676" s="2"/>
      <c r="J676" s="2"/>
    </row>
    <row r="677" spans="1:10" ht="15" thickBot="1" x14ac:dyDescent="0.35">
      <c r="A677" s="1"/>
      <c r="B677" s="2"/>
      <c r="C677" s="2"/>
      <c r="D677" s="2"/>
      <c r="E677" s="2"/>
      <c r="F677" s="2"/>
      <c r="G677" s="3"/>
      <c r="H677" s="2"/>
      <c r="I677" s="2"/>
      <c r="J677" s="2"/>
    </row>
    <row r="678" spans="1:10" ht="15" thickBot="1" x14ac:dyDescent="0.35">
      <c r="A678" s="1"/>
      <c r="B678" s="2"/>
      <c r="C678" s="2"/>
      <c r="D678" s="2"/>
      <c r="E678" s="2"/>
      <c r="F678" s="2"/>
      <c r="G678" s="3"/>
      <c r="H678" s="2"/>
      <c r="I678" s="2"/>
      <c r="J678" s="2"/>
    </row>
    <row r="679" spans="1:10" ht="15" thickBot="1" x14ac:dyDescent="0.35">
      <c r="A679" s="1"/>
      <c r="B679" s="2"/>
      <c r="C679" s="2"/>
      <c r="D679" s="2"/>
      <c r="E679" s="2"/>
      <c r="F679" s="2"/>
      <c r="G679" s="3"/>
      <c r="H679" s="2"/>
      <c r="I679" s="2"/>
      <c r="J679" s="2"/>
    </row>
    <row r="680" spans="1:10" ht="15" thickBot="1" x14ac:dyDescent="0.35">
      <c r="A680" s="1"/>
      <c r="B680" s="2"/>
      <c r="C680" s="2"/>
      <c r="D680" s="2"/>
      <c r="E680" s="2"/>
      <c r="F680" s="2"/>
      <c r="G680" s="3"/>
      <c r="H680" s="2"/>
      <c r="I680" s="2"/>
      <c r="J680" s="2"/>
    </row>
    <row r="681" spans="1:10" ht="15" thickBot="1" x14ac:dyDescent="0.35">
      <c r="A681" s="1"/>
      <c r="B681" s="2"/>
      <c r="C681" s="2"/>
      <c r="D681" s="2"/>
      <c r="E681" s="2"/>
      <c r="F681" s="2"/>
      <c r="G681" s="3"/>
      <c r="H681" s="2"/>
      <c r="I681" s="2"/>
      <c r="J681" s="2"/>
    </row>
    <row r="682" spans="1:10" ht="15" thickBot="1" x14ac:dyDescent="0.35">
      <c r="A682" s="1"/>
      <c r="B682" s="2"/>
      <c r="C682" s="2"/>
      <c r="D682" s="2"/>
      <c r="E682" s="2"/>
      <c r="F682" s="2"/>
      <c r="G682" s="3"/>
      <c r="H682" s="2"/>
      <c r="I682" s="2"/>
      <c r="J682" s="2"/>
    </row>
    <row r="683" spans="1:10" ht="15" thickBot="1" x14ac:dyDescent="0.35">
      <c r="A683" s="1"/>
      <c r="B683" s="2"/>
      <c r="C683" s="2"/>
      <c r="D683" s="2"/>
      <c r="E683" s="2"/>
      <c r="F683" s="2"/>
      <c r="G683" s="3"/>
      <c r="H683" s="2"/>
      <c r="I683" s="2"/>
      <c r="J683" s="2"/>
    </row>
    <row r="684" spans="1:10" ht="15" thickBot="1" x14ac:dyDescent="0.35">
      <c r="A684" s="1"/>
      <c r="B684" s="2"/>
      <c r="C684" s="2"/>
      <c r="D684" s="2"/>
      <c r="E684" s="2"/>
      <c r="F684" s="2"/>
      <c r="G684" s="3"/>
      <c r="H684" s="2"/>
      <c r="I684" s="2"/>
      <c r="J684" s="2"/>
    </row>
    <row r="685" spans="1:10" ht="15" thickBot="1" x14ac:dyDescent="0.35">
      <c r="A685" s="1"/>
      <c r="B685" s="2"/>
      <c r="C685" s="2"/>
      <c r="D685" s="2"/>
      <c r="E685" s="2"/>
      <c r="F685" s="2"/>
      <c r="G685" s="3"/>
      <c r="H685" s="2"/>
      <c r="I685" s="2"/>
      <c r="J685" s="2"/>
    </row>
    <row r="686" spans="1:10" ht="15" thickBot="1" x14ac:dyDescent="0.35">
      <c r="A686" s="1"/>
      <c r="B686" s="2"/>
      <c r="C686" s="2"/>
      <c r="D686" s="2"/>
      <c r="E686" s="2"/>
      <c r="F686" s="2"/>
      <c r="G686" s="3"/>
      <c r="H686" s="2"/>
      <c r="I686" s="2"/>
      <c r="J686" s="2"/>
    </row>
    <row r="687" spans="1:10" ht="15" thickBot="1" x14ac:dyDescent="0.35">
      <c r="A687" s="1"/>
      <c r="B687" s="2"/>
      <c r="C687" s="2"/>
      <c r="D687" s="2"/>
      <c r="E687" s="2"/>
      <c r="F687" s="2"/>
      <c r="G687" s="3"/>
      <c r="H687" s="2"/>
      <c r="I687" s="2"/>
      <c r="J687" s="2"/>
    </row>
    <row r="688" spans="1:10" ht="15" thickBot="1" x14ac:dyDescent="0.35">
      <c r="A688" s="1"/>
      <c r="B688" s="2"/>
      <c r="C688" s="2"/>
      <c r="D688" s="2"/>
      <c r="E688" s="2"/>
      <c r="F688" s="2"/>
      <c r="G688" s="3"/>
      <c r="H688" s="2"/>
      <c r="I688" s="2"/>
      <c r="J688" s="2"/>
    </row>
    <row r="689" spans="1:10" ht="15" thickBot="1" x14ac:dyDescent="0.35">
      <c r="A689" s="1"/>
      <c r="B689" s="2"/>
      <c r="C689" s="2"/>
      <c r="D689" s="2"/>
      <c r="E689" s="2"/>
      <c r="F689" s="2"/>
      <c r="G689" s="3"/>
      <c r="H689" s="2"/>
      <c r="I689" s="2"/>
      <c r="J689" s="2"/>
    </row>
    <row r="690" spans="1:10" ht="15" thickBot="1" x14ac:dyDescent="0.35">
      <c r="A690" s="1"/>
      <c r="B690" s="2"/>
      <c r="C690" s="2"/>
      <c r="D690" s="2"/>
      <c r="E690" s="2"/>
      <c r="F690" s="2"/>
      <c r="G690" s="3"/>
      <c r="H690" s="2"/>
      <c r="I690" s="2"/>
      <c r="J690" s="2"/>
    </row>
    <row r="691" spans="1:10" ht="15" thickBot="1" x14ac:dyDescent="0.35">
      <c r="A691" s="1"/>
      <c r="B691" s="2"/>
      <c r="C691" s="2"/>
      <c r="D691" s="2"/>
      <c r="E691" s="2"/>
      <c r="F691" s="2"/>
      <c r="G691" s="3"/>
      <c r="H691" s="2"/>
      <c r="I691" s="2"/>
      <c r="J691" s="2"/>
    </row>
    <row r="692" spans="1:10" ht="15" thickBot="1" x14ac:dyDescent="0.35">
      <c r="A692" s="1"/>
      <c r="B692" s="2"/>
      <c r="C692" s="2"/>
      <c r="D692" s="2"/>
      <c r="E692" s="2"/>
      <c r="F692" s="2"/>
      <c r="G692" s="3"/>
      <c r="H692" s="2"/>
      <c r="I692" s="2"/>
      <c r="J692" s="2"/>
    </row>
    <row r="693" spans="1:10" ht="15" thickBot="1" x14ac:dyDescent="0.35">
      <c r="A693" s="1"/>
      <c r="B693" s="2"/>
      <c r="C693" s="2"/>
      <c r="D693" s="2"/>
      <c r="E693" s="2"/>
      <c r="F693" s="2"/>
      <c r="G693" s="3"/>
      <c r="H693" s="2"/>
      <c r="I693" s="2"/>
      <c r="J693" s="2"/>
    </row>
    <row r="694" spans="1:10" ht="15" thickBot="1" x14ac:dyDescent="0.35">
      <c r="A694" s="1"/>
      <c r="B694" s="2"/>
      <c r="C694" s="2"/>
      <c r="D694" s="2"/>
      <c r="E694" s="2"/>
      <c r="F694" s="2"/>
      <c r="G694" s="3"/>
      <c r="H694" s="2"/>
      <c r="I694" s="2"/>
      <c r="J694" s="2"/>
    </row>
    <row r="695" spans="1:10" ht="15" thickBot="1" x14ac:dyDescent="0.35">
      <c r="A695" s="1"/>
      <c r="B695" s="2"/>
      <c r="C695" s="2"/>
      <c r="D695" s="2"/>
      <c r="E695" s="2"/>
      <c r="F695" s="2"/>
      <c r="G695" s="3"/>
      <c r="H695" s="2"/>
      <c r="I695" s="2"/>
      <c r="J695" s="2"/>
    </row>
    <row r="696" spans="1:10" ht="15" thickBot="1" x14ac:dyDescent="0.35">
      <c r="A696" s="1"/>
      <c r="B696" s="2"/>
      <c r="C696" s="2"/>
      <c r="D696" s="2"/>
      <c r="E696" s="2"/>
      <c r="F696" s="2"/>
      <c r="G696" s="3"/>
      <c r="H696" s="2"/>
      <c r="I696" s="2"/>
      <c r="J696" s="2"/>
    </row>
    <row r="697" spans="1:10" ht="15" thickBot="1" x14ac:dyDescent="0.35">
      <c r="A697" s="1"/>
      <c r="B697" s="2"/>
      <c r="C697" s="2"/>
      <c r="D697" s="2"/>
      <c r="E697" s="2"/>
      <c r="F697" s="2"/>
      <c r="G697" s="3"/>
      <c r="H697" s="2"/>
      <c r="I697" s="2"/>
      <c r="J697" s="2"/>
    </row>
    <row r="698" spans="1:10" ht="15" thickBot="1" x14ac:dyDescent="0.35">
      <c r="A698" s="1"/>
      <c r="B698" s="2"/>
      <c r="C698" s="2"/>
      <c r="D698" s="2"/>
      <c r="E698" s="2"/>
      <c r="F698" s="2"/>
      <c r="G698" s="3"/>
      <c r="H698" s="2"/>
      <c r="I698" s="2"/>
      <c r="J698" s="2"/>
    </row>
    <row r="699" spans="1:10" ht="15" thickBot="1" x14ac:dyDescent="0.35">
      <c r="A699" s="1"/>
      <c r="B699" s="2"/>
      <c r="C699" s="2"/>
      <c r="D699" s="2"/>
      <c r="E699" s="2"/>
      <c r="F699" s="2"/>
      <c r="G699" s="3"/>
      <c r="H699" s="2"/>
      <c r="I699" s="2"/>
      <c r="J699" s="2"/>
    </row>
    <row r="700" spans="1:10" ht="15" thickBot="1" x14ac:dyDescent="0.35">
      <c r="A700" s="1"/>
      <c r="B700" s="2"/>
      <c r="C700" s="2"/>
      <c r="D700" s="2"/>
      <c r="E700" s="2"/>
      <c r="F700" s="2"/>
      <c r="G700" s="3"/>
      <c r="H700" s="2"/>
      <c r="I700" s="2"/>
      <c r="J700" s="2"/>
    </row>
    <row r="701" spans="1:10" ht="15" thickBot="1" x14ac:dyDescent="0.35">
      <c r="A701" s="1"/>
      <c r="B701" s="2"/>
      <c r="C701" s="2"/>
      <c r="D701" s="2"/>
      <c r="E701" s="2"/>
      <c r="F701" s="2"/>
      <c r="G701" s="3"/>
      <c r="H701" s="2"/>
      <c r="I701" s="2"/>
      <c r="J701" s="2"/>
    </row>
    <row r="702" spans="1:10" ht="15" thickBot="1" x14ac:dyDescent="0.35">
      <c r="A702" s="1"/>
      <c r="B702" s="2"/>
      <c r="C702" s="2"/>
      <c r="D702" s="2"/>
      <c r="E702" s="2"/>
      <c r="F702" s="2"/>
      <c r="G702" s="3"/>
      <c r="H702" s="2"/>
      <c r="I702" s="2"/>
      <c r="J702" s="2"/>
    </row>
    <row r="703" spans="1:10" ht="15" thickBot="1" x14ac:dyDescent="0.35">
      <c r="A703" s="1"/>
      <c r="B703" s="2"/>
      <c r="C703" s="2"/>
      <c r="D703" s="2"/>
      <c r="E703" s="2"/>
      <c r="F703" s="2"/>
      <c r="G703" s="3"/>
      <c r="H703" s="2"/>
      <c r="I703" s="2"/>
      <c r="J703" s="2"/>
    </row>
    <row r="704" spans="1:10" ht="15" thickBot="1" x14ac:dyDescent="0.35">
      <c r="A704" s="1"/>
      <c r="B704" s="2"/>
      <c r="C704" s="2"/>
      <c r="D704" s="2"/>
      <c r="E704" s="2"/>
      <c r="F704" s="2"/>
      <c r="G704" s="3"/>
      <c r="H704" s="2"/>
      <c r="I704" s="2"/>
      <c r="J704" s="2"/>
    </row>
    <row r="705" spans="1:10" ht="15" thickBot="1" x14ac:dyDescent="0.35">
      <c r="A705" s="1"/>
      <c r="B705" s="2"/>
      <c r="C705" s="2"/>
      <c r="D705" s="2"/>
      <c r="E705" s="2"/>
      <c r="F705" s="2"/>
      <c r="G705" s="3"/>
      <c r="H705" s="2"/>
      <c r="I705" s="2"/>
      <c r="J705" s="2"/>
    </row>
    <row r="706" spans="1:10" ht="15" thickBot="1" x14ac:dyDescent="0.35">
      <c r="A706" s="1"/>
      <c r="B706" s="2"/>
      <c r="C706" s="2"/>
      <c r="D706" s="2"/>
      <c r="E706" s="2"/>
      <c r="F706" s="2"/>
      <c r="G706" s="3"/>
      <c r="H706" s="2"/>
      <c r="I706" s="2"/>
      <c r="J706" s="2"/>
    </row>
    <row r="707" spans="1:10" ht="15" thickBot="1" x14ac:dyDescent="0.35">
      <c r="A707" s="1"/>
      <c r="B707" s="2"/>
      <c r="C707" s="2"/>
      <c r="D707" s="2"/>
      <c r="E707" s="2"/>
      <c r="F707" s="2"/>
      <c r="G707" s="3"/>
      <c r="H707" s="2"/>
      <c r="I707" s="2"/>
      <c r="J707" s="2"/>
    </row>
    <row r="708" spans="1:10" ht="15" thickBot="1" x14ac:dyDescent="0.35">
      <c r="A708" s="1"/>
      <c r="B708" s="2"/>
      <c r="C708" s="2"/>
      <c r="D708" s="2"/>
      <c r="E708" s="2"/>
      <c r="F708" s="2"/>
      <c r="G708" s="3"/>
      <c r="H708" s="2"/>
      <c r="I708" s="2"/>
      <c r="J708" s="2"/>
    </row>
    <row r="709" spans="1:10" ht="15" thickBot="1" x14ac:dyDescent="0.35">
      <c r="A709" s="1"/>
      <c r="B709" s="2"/>
      <c r="C709" s="2"/>
      <c r="D709" s="2"/>
      <c r="E709" s="2"/>
      <c r="F709" s="2"/>
      <c r="G709" s="3"/>
      <c r="H709" s="2"/>
      <c r="I709" s="2"/>
      <c r="J709" s="2"/>
    </row>
    <row r="710" spans="1:10" ht="15" thickBot="1" x14ac:dyDescent="0.35">
      <c r="A710" s="1"/>
      <c r="B710" s="2"/>
      <c r="C710" s="2"/>
      <c r="D710" s="2"/>
      <c r="E710" s="2"/>
      <c r="F710" s="2"/>
      <c r="G710" s="3"/>
      <c r="H710" s="2"/>
      <c r="I710" s="2"/>
      <c r="J710" s="2"/>
    </row>
    <row r="711" spans="1:10" ht="15" thickBot="1" x14ac:dyDescent="0.35">
      <c r="A711" s="1"/>
      <c r="B711" s="2"/>
      <c r="C711" s="2"/>
      <c r="D711" s="2"/>
      <c r="E711" s="2"/>
      <c r="F711" s="2"/>
      <c r="G711" s="3"/>
      <c r="H711" s="2"/>
      <c r="I711" s="2"/>
      <c r="J711" s="2"/>
    </row>
    <row r="712" spans="1:10" ht="15" thickBot="1" x14ac:dyDescent="0.35">
      <c r="A712" s="1"/>
      <c r="B712" s="2"/>
      <c r="C712" s="2"/>
      <c r="D712" s="2"/>
      <c r="E712" s="2"/>
      <c r="F712" s="2"/>
      <c r="G712" s="3"/>
      <c r="H712" s="2"/>
      <c r="I712" s="2"/>
      <c r="J712" s="2"/>
    </row>
    <row r="713" spans="1:10" ht="15" thickBot="1" x14ac:dyDescent="0.35">
      <c r="A713" s="1"/>
      <c r="B713" s="2"/>
      <c r="C713" s="2"/>
      <c r="D713" s="2"/>
      <c r="E713" s="2"/>
      <c r="F713" s="2"/>
      <c r="G713" s="3"/>
      <c r="H713" s="2"/>
      <c r="I713" s="2"/>
      <c r="J713" s="2"/>
    </row>
    <row r="714" spans="1:10" ht="15" thickBot="1" x14ac:dyDescent="0.35">
      <c r="A714" s="1"/>
      <c r="B714" s="2"/>
      <c r="C714" s="2"/>
      <c r="D714" s="2"/>
      <c r="E714" s="2"/>
      <c r="F714" s="2"/>
      <c r="G714" s="3"/>
      <c r="H714" s="2"/>
      <c r="I714" s="2"/>
      <c r="J714" s="2"/>
    </row>
    <row r="715" spans="1:10" ht="15" thickBot="1" x14ac:dyDescent="0.35">
      <c r="A715" s="1"/>
      <c r="B715" s="2"/>
      <c r="C715" s="2"/>
      <c r="D715" s="2"/>
      <c r="E715" s="2"/>
      <c r="F715" s="2"/>
      <c r="G715" s="3"/>
      <c r="H715" s="2"/>
      <c r="I715" s="2"/>
      <c r="J715" s="2"/>
    </row>
    <row r="716" spans="1:10" ht="15" thickBot="1" x14ac:dyDescent="0.35">
      <c r="A716" s="1"/>
      <c r="B716" s="2"/>
      <c r="C716" s="2"/>
      <c r="D716" s="2"/>
      <c r="E716" s="2"/>
      <c r="F716" s="2"/>
      <c r="G716" s="3"/>
      <c r="H716" s="2"/>
      <c r="I716" s="2"/>
      <c r="J716" s="2"/>
    </row>
    <row r="717" spans="1:10" ht="15" thickBot="1" x14ac:dyDescent="0.35">
      <c r="A717" s="1"/>
      <c r="B717" s="2"/>
      <c r="C717" s="2"/>
      <c r="D717" s="2"/>
      <c r="E717" s="2"/>
      <c r="F717" s="2"/>
      <c r="G717" s="3"/>
      <c r="H717" s="2"/>
      <c r="I717" s="2"/>
      <c r="J717" s="2"/>
    </row>
    <row r="718" spans="1:10" ht="15" thickBot="1" x14ac:dyDescent="0.35">
      <c r="A718" s="1"/>
      <c r="B718" s="2"/>
      <c r="C718" s="2"/>
      <c r="D718" s="2"/>
      <c r="E718" s="2"/>
      <c r="F718" s="2"/>
      <c r="G718" s="3"/>
      <c r="H718" s="2"/>
      <c r="I718" s="2"/>
      <c r="J718" s="2"/>
    </row>
    <row r="719" spans="1:10" ht="15" thickBot="1" x14ac:dyDescent="0.35">
      <c r="A719" s="1"/>
      <c r="B719" s="2"/>
      <c r="C719" s="2"/>
      <c r="D719" s="2"/>
      <c r="E719" s="2"/>
      <c r="F719" s="2"/>
      <c r="G719" s="3"/>
      <c r="H719" s="2"/>
      <c r="I719" s="2"/>
      <c r="J719" s="2"/>
    </row>
    <row r="720" spans="1:10" ht="15" thickBot="1" x14ac:dyDescent="0.35">
      <c r="A720" s="1"/>
      <c r="B720" s="2"/>
      <c r="C720" s="2"/>
      <c r="D720" s="2"/>
      <c r="E720" s="2"/>
      <c r="F720" s="2"/>
      <c r="G720" s="3"/>
      <c r="H720" s="2"/>
      <c r="I720" s="2"/>
      <c r="J720" s="2"/>
    </row>
    <row r="721" spans="1:10" ht="15" thickBot="1" x14ac:dyDescent="0.35">
      <c r="A721" s="1"/>
      <c r="B721" s="2"/>
      <c r="C721" s="2"/>
      <c r="D721" s="2"/>
      <c r="E721" s="2"/>
      <c r="F721" s="2"/>
      <c r="G721" s="3"/>
      <c r="H721" s="2"/>
      <c r="I721" s="2"/>
      <c r="J721" s="2"/>
    </row>
    <row r="722" spans="1:10" ht="15" thickBot="1" x14ac:dyDescent="0.35">
      <c r="A722" s="1"/>
      <c r="B722" s="2"/>
      <c r="C722" s="2"/>
      <c r="D722" s="2"/>
      <c r="E722" s="2"/>
      <c r="F722" s="2"/>
      <c r="G722" s="3"/>
      <c r="H722" s="2"/>
      <c r="I722" s="2"/>
      <c r="J722" s="2"/>
    </row>
    <row r="723" spans="1:10" ht="15" thickBot="1" x14ac:dyDescent="0.35">
      <c r="A723" s="1"/>
      <c r="B723" s="2"/>
      <c r="C723" s="2"/>
      <c r="D723" s="2"/>
      <c r="E723" s="2"/>
      <c r="F723" s="2"/>
      <c r="G723" s="3"/>
      <c r="H723" s="2"/>
      <c r="I723" s="2"/>
      <c r="J723" s="2"/>
    </row>
    <row r="724" spans="1:10" ht="15" thickBot="1" x14ac:dyDescent="0.35">
      <c r="A724" s="1"/>
      <c r="B724" s="2"/>
      <c r="C724" s="2"/>
      <c r="D724" s="2"/>
      <c r="E724" s="2"/>
      <c r="F724" s="2"/>
      <c r="G724" s="3"/>
      <c r="H724" s="2"/>
      <c r="I724" s="2"/>
      <c r="J724" s="2"/>
    </row>
    <row r="725" spans="1:10" ht="15" thickBot="1" x14ac:dyDescent="0.35">
      <c r="A725" s="1"/>
      <c r="B725" s="2"/>
      <c r="C725" s="2"/>
      <c r="D725" s="2"/>
      <c r="E725" s="2"/>
      <c r="F725" s="2"/>
      <c r="G725" s="3"/>
      <c r="H725" s="2"/>
      <c r="I725" s="2"/>
      <c r="J725" s="2"/>
    </row>
    <row r="726" spans="1:10" ht="15" thickBot="1" x14ac:dyDescent="0.35">
      <c r="A726" s="1"/>
      <c r="B726" s="2"/>
      <c r="C726" s="2"/>
      <c r="D726" s="2"/>
      <c r="E726" s="2"/>
      <c r="F726" s="2"/>
      <c r="G726" s="3"/>
      <c r="H726" s="2"/>
      <c r="I726" s="2"/>
      <c r="J726" s="2"/>
    </row>
    <row r="727" spans="1:10" ht="15" thickBot="1" x14ac:dyDescent="0.35">
      <c r="A727" s="1"/>
      <c r="B727" s="2"/>
      <c r="C727" s="2"/>
      <c r="D727" s="2"/>
      <c r="E727" s="2"/>
      <c r="F727" s="2"/>
      <c r="G727" s="3"/>
      <c r="H727" s="2"/>
      <c r="I727" s="2"/>
      <c r="J727" s="2"/>
    </row>
    <row r="728" spans="1:10" ht="15" thickBot="1" x14ac:dyDescent="0.35">
      <c r="A728" s="1"/>
      <c r="B728" s="2"/>
      <c r="C728" s="2"/>
      <c r="D728" s="2"/>
      <c r="E728" s="2"/>
      <c r="F728" s="2"/>
      <c r="G728" s="3"/>
      <c r="H728" s="2"/>
      <c r="I728" s="2"/>
      <c r="J728" s="2"/>
    </row>
    <row r="729" spans="1:10" ht="15" thickBot="1" x14ac:dyDescent="0.35">
      <c r="A729" s="1"/>
      <c r="B729" s="2"/>
      <c r="C729" s="2"/>
      <c r="D729" s="2"/>
      <c r="E729" s="2"/>
      <c r="F729" s="2"/>
      <c r="G729" s="3"/>
      <c r="H729" s="2"/>
      <c r="I729" s="2"/>
      <c r="J729" s="2"/>
    </row>
    <row r="730" spans="1:10" ht="15" thickBot="1" x14ac:dyDescent="0.35">
      <c r="A730" s="1"/>
      <c r="B730" s="2"/>
      <c r="C730" s="2"/>
      <c r="D730" s="2"/>
      <c r="E730" s="2"/>
      <c r="F730" s="2"/>
      <c r="G730" s="3"/>
      <c r="H730" s="2"/>
      <c r="I730" s="2"/>
      <c r="J730" s="2"/>
    </row>
    <row r="731" spans="1:10" ht="15" thickBot="1" x14ac:dyDescent="0.35">
      <c r="A731" s="1"/>
      <c r="B731" s="2"/>
      <c r="C731" s="2"/>
      <c r="D731" s="2"/>
      <c r="E731" s="2"/>
      <c r="F731" s="2"/>
      <c r="G731" s="3"/>
      <c r="H731" s="2"/>
      <c r="I731" s="2"/>
      <c r="J731" s="2"/>
    </row>
    <row r="732" spans="1:10" ht="15" thickBot="1" x14ac:dyDescent="0.35">
      <c r="A732" s="1"/>
      <c r="B732" s="2"/>
      <c r="C732" s="2"/>
      <c r="D732" s="2"/>
      <c r="E732" s="2"/>
      <c r="F732" s="2"/>
      <c r="G732" s="3"/>
      <c r="H732" s="2"/>
      <c r="I732" s="2"/>
      <c r="J732" s="2"/>
    </row>
    <row r="733" spans="1:10" ht="15" thickBot="1" x14ac:dyDescent="0.35">
      <c r="A733" s="1"/>
      <c r="B733" s="2"/>
      <c r="C733" s="2"/>
      <c r="D733" s="2"/>
      <c r="E733" s="2"/>
      <c r="F733" s="2"/>
      <c r="G733" s="3"/>
      <c r="H733" s="2"/>
      <c r="I733" s="2"/>
      <c r="J733" s="2"/>
    </row>
    <row r="734" spans="1:10" ht="15" thickBot="1" x14ac:dyDescent="0.35">
      <c r="A734" s="1"/>
      <c r="B734" s="2"/>
      <c r="C734" s="2"/>
      <c r="D734" s="2"/>
      <c r="E734" s="2"/>
      <c r="F734" s="2"/>
      <c r="G734" s="3"/>
      <c r="H734" s="2"/>
      <c r="I734" s="2"/>
      <c r="J734" s="2"/>
    </row>
    <row r="735" spans="1:10" ht="15" thickBot="1" x14ac:dyDescent="0.35">
      <c r="A735" s="1"/>
      <c r="B735" s="2"/>
      <c r="C735" s="2"/>
      <c r="D735" s="2"/>
      <c r="E735" s="2"/>
      <c r="F735" s="2"/>
      <c r="G735" s="3"/>
      <c r="H735" s="2"/>
      <c r="I735" s="2"/>
      <c r="J735" s="2"/>
    </row>
    <row r="736" spans="1:10" ht="15" thickBot="1" x14ac:dyDescent="0.35">
      <c r="A736" s="1"/>
      <c r="B736" s="2"/>
      <c r="C736" s="2"/>
      <c r="D736" s="2"/>
      <c r="E736" s="2"/>
      <c r="F736" s="2"/>
      <c r="G736" s="3"/>
      <c r="H736" s="2"/>
      <c r="I736" s="2"/>
      <c r="J736" s="2"/>
    </row>
    <row r="737" spans="1:10" ht="15" thickBot="1" x14ac:dyDescent="0.35">
      <c r="A737" s="1"/>
      <c r="B737" s="2"/>
      <c r="C737" s="2"/>
      <c r="D737" s="2"/>
      <c r="E737" s="2"/>
      <c r="F737" s="2"/>
      <c r="G737" s="3"/>
      <c r="H737" s="2"/>
      <c r="I737" s="2"/>
      <c r="J737" s="2"/>
    </row>
    <row r="738" spans="1:10" ht="15" thickBot="1" x14ac:dyDescent="0.35">
      <c r="A738" s="1"/>
      <c r="B738" s="2"/>
      <c r="C738" s="2"/>
      <c r="D738" s="2"/>
      <c r="E738" s="2"/>
      <c r="F738" s="2"/>
      <c r="G738" s="3"/>
      <c r="H738" s="2"/>
      <c r="I738" s="2"/>
      <c r="J738" s="2"/>
    </row>
    <row r="739" spans="1:10" ht="15" thickBot="1" x14ac:dyDescent="0.35">
      <c r="A739" s="1"/>
      <c r="B739" s="2"/>
      <c r="C739" s="2"/>
      <c r="D739" s="2"/>
      <c r="E739" s="2"/>
      <c r="F739" s="2"/>
      <c r="G739" s="3"/>
      <c r="H739" s="2"/>
      <c r="I739" s="2"/>
      <c r="J739" s="2"/>
    </row>
    <row r="740" spans="1:10" ht="15" thickBot="1" x14ac:dyDescent="0.35">
      <c r="A740" s="1"/>
      <c r="B740" s="2"/>
      <c r="C740" s="2"/>
      <c r="D740" s="2"/>
      <c r="E740" s="2"/>
      <c r="F740" s="2"/>
      <c r="G740" s="3"/>
      <c r="H740" s="2"/>
      <c r="I740" s="2"/>
      <c r="J740" s="2"/>
    </row>
    <row r="741" spans="1:10" ht="15" thickBot="1" x14ac:dyDescent="0.35">
      <c r="A741" s="1"/>
      <c r="B741" s="2"/>
      <c r="C741" s="2"/>
      <c r="D741" s="2"/>
      <c r="E741" s="2"/>
      <c r="F741" s="2"/>
      <c r="G741" s="3"/>
      <c r="H741" s="2"/>
      <c r="I741" s="2"/>
      <c r="J741" s="2"/>
    </row>
    <row r="742" spans="1:10" ht="15" thickBot="1" x14ac:dyDescent="0.35">
      <c r="A742" s="1"/>
      <c r="B742" s="2"/>
      <c r="C742" s="2"/>
      <c r="D742" s="2"/>
      <c r="E742" s="2"/>
      <c r="F742" s="2"/>
      <c r="G742" s="3"/>
      <c r="H742" s="2"/>
      <c r="I742" s="2"/>
      <c r="J742" s="2"/>
    </row>
    <row r="743" spans="1:10" ht="15" thickBot="1" x14ac:dyDescent="0.35">
      <c r="A743" s="1"/>
      <c r="B743" s="2"/>
      <c r="C743" s="2"/>
      <c r="D743" s="2"/>
      <c r="E743" s="2"/>
      <c r="F743" s="2"/>
      <c r="G743" s="3"/>
      <c r="H743" s="2"/>
      <c r="I743" s="2"/>
      <c r="J743" s="2"/>
    </row>
    <row r="744" spans="1:10" ht="15" thickBot="1" x14ac:dyDescent="0.35">
      <c r="A744" s="1"/>
      <c r="B744" s="2"/>
      <c r="C744" s="2"/>
      <c r="D744" s="2"/>
      <c r="E744" s="2"/>
      <c r="F744" s="2"/>
      <c r="G744" s="3"/>
      <c r="H744" s="2"/>
      <c r="I744" s="2"/>
      <c r="J744" s="2"/>
    </row>
    <row r="745" spans="1:10" ht="15" thickBot="1" x14ac:dyDescent="0.35">
      <c r="A745" s="1"/>
      <c r="B745" s="2"/>
      <c r="C745" s="2"/>
      <c r="D745" s="2"/>
      <c r="E745" s="2"/>
      <c r="F745" s="2"/>
      <c r="G745" s="3"/>
      <c r="H745" s="2"/>
      <c r="I745" s="2"/>
      <c r="J745" s="2"/>
    </row>
    <row r="746" spans="1:10" ht="15" thickBot="1" x14ac:dyDescent="0.35">
      <c r="A746" s="1"/>
      <c r="B746" s="2"/>
      <c r="C746" s="2"/>
      <c r="D746" s="2"/>
      <c r="E746" s="2"/>
      <c r="F746" s="2"/>
      <c r="G746" s="3"/>
      <c r="H746" s="2"/>
      <c r="I746" s="2"/>
      <c r="J746" s="2"/>
    </row>
    <row r="747" spans="1:10" ht="15" thickBot="1" x14ac:dyDescent="0.35">
      <c r="A747" s="1"/>
      <c r="B747" s="2"/>
      <c r="C747" s="2"/>
      <c r="D747" s="2"/>
      <c r="E747" s="2"/>
      <c r="F747" s="2"/>
      <c r="G747" s="3"/>
      <c r="H747" s="2"/>
      <c r="I747" s="2"/>
      <c r="J747" s="2"/>
    </row>
    <row r="748" spans="1:10" ht="15" thickBot="1" x14ac:dyDescent="0.35">
      <c r="A748" s="1"/>
      <c r="B748" s="2"/>
      <c r="C748" s="2"/>
      <c r="D748" s="2"/>
      <c r="E748" s="2"/>
      <c r="F748" s="2"/>
      <c r="G748" s="3"/>
      <c r="H748" s="2"/>
      <c r="I748" s="2"/>
      <c r="J748" s="2"/>
    </row>
    <row r="749" spans="1:10" ht="15" thickBot="1" x14ac:dyDescent="0.35">
      <c r="A749" s="1"/>
      <c r="B749" s="2"/>
      <c r="C749" s="2"/>
      <c r="D749" s="2"/>
      <c r="E749" s="2"/>
      <c r="F749" s="2"/>
      <c r="G749" s="3"/>
      <c r="H749" s="2"/>
      <c r="I749" s="2"/>
      <c r="J749" s="2"/>
    </row>
    <row r="750" spans="1:10" ht="15" thickBot="1" x14ac:dyDescent="0.35">
      <c r="A750" s="1"/>
      <c r="B750" s="2"/>
      <c r="C750" s="2"/>
      <c r="D750" s="2"/>
      <c r="E750" s="2"/>
      <c r="F750" s="2"/>
      <c r="G750" s="3"/>
      <c r="H750" s="2"/>
      <c r="I750" s="2"/>
      <c r="J750" s="2"/>
    </row>
    <row r="751" spans="1:10" ht="15" thickBot="1" x14ac:dyDescent="0.35">
      <c r="A751" s="1"/>
      <c r="B751" s="2"/>
      <c r="C751" s="2"/>
      <c r="D751" s="2"/>
      <c r="E751" s="2"/>
      <c r="F751" s="2"/>
      <c r="G751" s="3"/>
      <c r="H751" s="2"/>
      <c r="I751" s="2"/>
      <c r="J751" s="2"/>
    </row>
    <row r="752" spans="1:10" ht="15" thickBot="1" x14ac:dyDescent="0.35">
      <c r="A752" s="1"/>
      <c r="B752" s="2"/>
      <c r="C752" s="2"/>
      <c r="D752" s="2"/>
      <c r="E752" s="2"/>
      <c r="F752" s="2"/>
      <c r="G752" s="3"/>
      <c r="H752" s="2"/>
      <c r="I752" s="2"/>
      <c r="J752" s="2"/>
    </row>
    <row r="753" spans="1:10" ht="15" thickBot="1" x14ac:dyDescent="0.35">
      <c r="A753" s="1"/>
      <c r="B753" s="2"/>
      <c r="C753" s="2"/>
      <c r="D753" s="2"/>
      <c r="E753" s="2"/>
      <c r="F753" s="2"/>
      <c r="G753" s="3"/>
      <c r="H753" s="2"/>
      <c r="I753" s="2"/>
      <c r="J753" s="2"/>
    </row>
    <row r="754" spans="1:10" ht="15" thickBot="1" x14ac:dyDescent="0.35">
      <c r="A754" s="1"/>
      <c r="B754" s="2"/>
      <c r="C754" s="2"/>
      <c r="D754" s="2"/>
      <c r="E754" s="2"/>
      <c r="F754" s="2"/>
      <c r="G754" s="3"/>
      <c r="H754" s="2"/>
      <c r="I754" s="2"/>
      <c r="J754" s="2"/>
    </row>
    <row r="755" spans="1:10" ht="15" thickBot="1" x14ac:dyDescent="0.35">
      <c r="A755" s="1"/>
      <c r="B755" s="2"/>
      <c r="C755" s="2"/>
      <c r="D755" s="2"/>
      <c r="E755" s="2"/>
      <c r="F755" s="2"/>
      <c r="G755" s="3"/>
      <c r="H755" s="2"/>
      <c r="I755" s="2"/>
      <c r="J755" s="2"/>
    </row>
    <row r="756" spans="1:10" ht="15" thickBot="1" x14ac:dyDescent="0.35">
      <c r="A756" s="1"/>
      <c r="B756" s="2"/>
      <c r="C756" s="2"/>
      <c r="D756" s="2"/>
      <c r="E756" s="2"/>
      <c r="F756" s="2"/>
      <c r="G756" s="3"/>
      <c r="H756" s="2"/>
      <c r="I756" s="2"/>
      <c r="J756" s="2"/>
    </row>
    <row r="757" spans="1:10" ht="15" thickBot="1" x14ac:dyDescent="0.35">
      <c r="A757" s="1"/>
      <c r="B757" s="2"/>
      <c r="C757" s="2"/>
      <c r="D757" s="2"/>
      <c r="E757" s="2"/>
      <c r="F757" s="2"/>
      <c r="G757" s="3"/>
      <c r="H757" s="2"/>
      <c r="I757" s="2"/>
      <c r="J757" s="2"/>
    </row>
    <row r="758" spans="1:10" ht="15" thickBot="1" x14ac:dyDescent="0.35">
      <c r="A758" s="1"/>
      <c r="B758" s="2"/>
      <c r="C758" s="2"/>
      <c r="D758" s="2"/>
      <c r="E758" s="2"/>
      <c r="F758" s="2"/>
      <c r="G758" s="3"/>
      <c r="H758" s="2"/>
      <c r="I758" s="2"/>
      <c r="J758" s="2"/>
    </row>
    <row r="759" spans="1:10" ht="15" thickBot="1" x14ac:dyDescent="0.35">
      <c r="A759" s="1"/>
      <c r="B759" s="2"/>
      <c r="C759" s="2"/>
      <c r="D759" s="2"/>
      <c r="E759" s="2"/>
      <c r="F759" s="2"/>
      <c r="G759" s="3"/>
      <c r="H759" s="2"/>
      <c r="I759" s="2"/>
      <c r="J759" s="2"/>
    </row>
    <row r="760" spans="1:10" ht="15" thickBot="1" x14ac:dyDescent="0.35">
      <c r="A760" s="1"/>
      <c r="B760" s="2"/>
      <c r="C760" s="2"/>
      <c r="D760" s="2"/>
      <c r="E760" s="2"/>
      <c r="F760" s="2"/>
      <c r="G760" s="3"/>
      <c r="H760" s="2"/>
      <c r="I760" s="2"/>
      <c r="J760" s="2"/>
    </row>
    <row r="761" spans="1:10" ht="15" thickBot="1" x14ac:dyDescent="0.35">
      <c r="A761" s="1"/>
      <c r="B761" s="2"/>
      <c r="C761" s="2"/>
      <c r="D761" s="2"/>
      <c r="E761" s="2"/>
      <c r="F761" s="2"/>
      <c r="G761" s="3"/>
      <c r="H761" s="2"/>
      <c r="I761" s="2"/>
      <c r="J761" s="2"/>
    </row>
    <row r="762" spans="1:10" ht="15" thickBot="1" x14ac:dyDescent="0.35">
      <c r="A762" s="1"/>
      <c r="B762" s="2"/>
      <c r="C762" s="2"/>
      <c r="D762" s="2"/>
      <c r="E762" s="2"/>
      <c r="F762" s="2"/>
      <c r="G762" s="3"/>
      <c r="H762" s="2"/>
      <c r="I762" s="2"/>
      <c r="J762" s="2"/>
    </row>
    <row r="763" spans="1:10" ht="15" thickBot="1" x14ac:dyDescent="0.35">
      <c r="A763" s="1"/>
      <c r="B763" s="2"/>
      <c r="C763" s="2"/>
      <c r="D763" s="2"/>
      <c r="E763" s="2"/>
      <c r="F763" s="2"/>
      <c r="G763" s="3"/>
      <c r="H763" s="2"/>
      <c r="I763" s="2"/>
      <c r="J763" s="2"/>
    </row>
    <row r="764" spans="1:10" ht="15" thickBot="1" x14ac:dyDescent="0.35">
      <c r="A764" s="1"/>
      <c r="B764" s="2"/>
      <c r="C764" s="2"/>
      <c r="D764" s="2"/>
      <c r="E764" s="2"/>
      <c r="F764" s="2"/>
      <c r="G764" s="3"/>
      <c r="H764" s="2"/>
      <c r="I764" s="2"/>
      <c r="J764" s="2"/>
    </row>
    <row r="765" spans="1:10" ht="15" thickBot="1" x14ac:dyDescent="0.35">
      <c r="A765" s="1"/>
      <c r="B765" s="2"/>
      <c r="C765" s="2"/>
      <c r="D765" s="2"/>
      <c r="E765" s="2"/>
      <c r="F765" s="2"/>
      <c r="G765" s="3"/>
      <c r="H765" s="2"/>
      <c r="I765" s="2"/>
      <c r="J765" s="2"/>
    </row>
    <row r="766" spans="1:10" ht="15" thickBot="1" x14ac:dyDescent="0.35">
      <c r="A766" s="1"/>
      <c r="B766" s="2"/>
      <c r="C766" s="2"/>
      <c r="D766" s="2"/>
      <c r="E766" s="2"/>
      <c r="F766" s="2"/>
      <c r="G766" s="3"/>
      <c r="H766" s="2"/>
      <c r="I766" s="2"/>
      <c r="J766" s="2"/>
    </row>
    <row r="767" spans="1:10" ht="15" thickBot="1" x14ac:dyDescent="0.35">
      <c r="A767" s="1"/>
      <c r="B767" s="2"/>
      <c r="C767" s="2"/>
      <c r="D767" s="2"/>
      <c r="E767" s="2"/>
      <c r="F767" s="2"/>
      <c r="G767" s="3"/>
      <c r="H767" s="2"/>
      <c r="I767" s="2"/>
      <c r="J767" s="2"/>
    </row>
    <row r="768" spans="1:10" ht="15" thickBot="1" x14ac:dyDescent="0.35">
      <c r="A768" s="1"/>
      <c r="B768" s="2"/>
      <c r="C768" s="2"/>
      <c r="D768" s="2"/>
      <c r="E768" s="2"/>
      <c r="F768" s="2"/>
      <c r="G768" s="3"/>
      <c r="H768" s="2"/>
      <c r="I768" s="2"/>
      <c r="J768" s="2"/>
    </row>
    <row r="769" spans="1:10" ht="15" thickBot="1" x14ac:dyDescent="0.35">
      <c r="A769" s="1"/>
      <c r="B769" s="2"/>
      <c r="C769" s="2"/>
      <c r="D769" s="2"/>
      <c r="E769" s="2"/>
      <c r="F769" s="2"/>
      <c r="G769" s="3"/>
      <c r="H769" s="2"/>
      <c r="I769" s="2"/>
      <c r="J769" s="2"/>
    </row>
    <row r="770" spans="1:10" ht="15" thickBot="1" x14ac:dyDescent="0.35">
      <c r="A770" s="1"/>
      <c r="B770" s="2"/>
      <c r="C770" s="2"/>
      <c r="D770" s="2"/>
      <c r="E770" s="2"/>
      <c r="F770" s="2"/>
      <c r="G770" s="3"/>
      <c r="H770" s="2"/>
      <c r="I770" s="2"/>
      <c r="J770" s="2"/>
    </row>
    <row r="771" spans="1:10" ht="15" thickBot="1" x14ac:dyDescent="0.35">
      <c r="A771" s="1"/>
      <c r="B771" s="2"/>
      <c r="C771" s="2"/>
      <c r="D771" s="2"/>
      <c r="E771" s="2"/>
      <c r="F771" s="2"/>
      <c r="G771" s="3"/>
      <c r="H771" s="2"/>
      <c r="I771" s="2"/>
      <c r="J771" s="2"/>
    </row>
    <row r="772" spans="1:10" ht="15" thickBot="1" x14ac:dyDescent="0.35">
      <c r="A772" s="1"/>
      <c r="B772" s="2"/>
      <c r="C772" s="2"/>
      <c r="D772" s="2"/>
      <c r="E772" s="2"/>
      <c r="F772" s="2"/>
      <c r="G772" s="3"/>
      <c r="H772" s="2"/>
      <c r="I772" s="2"/>
      <c r="J772" s="2"/>
    </row>
    <row r="773" spans="1:10" ht="15" thickBot="1" x14ac:dyDescent="0.35">
      <c r="A773" s="1"/>
      <c r="B773" s="2"/>
      <c r="C773" s="2"/>
      <c r="D773" s="2"/>
      <c r="E773" s="2"/>
      <c r="F773" s="2"/>
      <c r="G773" s="3"/>
      <c r="H773" s="2"/>
      <c r="I773" s="2"/>
      <c r="J773" s="2"/>
    </row>
    <row r="774" spans="1:10" ht="15" thickBot="1" x14ac:dyDescent="0.35">
      <c r="A774" s="1"/>
      <c r="B774" s="2"/>
      <c r="C774" s="2"/>
      <c r="D774" s="2"/>
      <c r="E774" s="2"/>
      <c r="F774" s="2"/>
      <c r="G774" s="3"/>
      <c r="H774" s="2"/>
      <c r="I774" s="2"/>
      <c r="J774" s="2"/>
    </row>
    <row r="775" spans="1:10" ht="15" thickBot="1" x14ac:dyDescent="0.35">
      <c r="A775" s="1"/>
      <c r="B775" s="2"/>
      <c r="C775" s="2"/>
      <c r="D775" s="2"/>
      <c r="E775" s="2"/>
      <c r="F775" s="2"/>
      <c r="G775" s="3"/>
      <c r="H775" s="2"/>
      <c r="I775" s="2"/>
      <c r="J775" s="2"/>
    </row>
    <row r="776" spans="1:10" ht="15" thickBot="1" x14ac:dyDescent="0.35">
      <c r="A776" s="1"/>
      <c r="B776" s="2"/>
      <c r="C776" s="2"/>
      <c r="D776" s="2"/>
      <c r="E776" s="2"/>
      <c r="F776" s="2"/>
      <c r="G776" s="3"/>
      <c r="H776" s="2"/>
      <c r="I776" s="2"/>
      <c r="J776" s="2"/>
    </row>
    <row r="777" spans="1:10" ht="15" thickBot="1" x14ac:dyDescent="0.35">
      <c r="A777" s="1"/>
      <c r="B777" s="2"/>
      <c r="C777" s="2"/>
      <c r="D777" s="2"/>
      <c r="E777" s="2"/>
      <c r="F777" s="2"/>
      <c r="G777" s="3"/>
      <c r="H777" s="2"/>
      <c r="I777" s="2"/>
      <c r="J777" s="2"/>
    </row>
    <row r="778" spans="1:10" ht="15" thickBot="1" x14ac:dyDescent="0.35">
      <c r="A778" s="1"/>
      <c r="B778" s="2"/>
      <c r="C778" s="2"/>
      <c r="D778" s="2"/>
      <c r="E778" s="2"/>
      <c r="F778" s="2"/>
      <c r="G778" s="3"/>
      <c r="H778" s="2"/>
      <c r="I778" s="2"/>
      <c r="J778" s="2"/>
    </row>
    <row r="779" spans="1:10" ht="15" thickBot="1" x14ac:dyDescent="0.35">
      <c r="A779" s="1"/>
      <c r="B779" s="2"/>
      <c r="C779" s="2"/>
      <c r="D779" s="2"/>
      <c r="E779" s="2"/>
      <c r="F779" s="2"/>
      <c r="G779" s="3"/>
      <c r="H779" s="2"/>
      <c r="I779" s="2"/>
      <c r="J779" s="2"/>
    </row>
    <row r="780" spans="1:10" ht="15" thickBot="1" x14ac:dyDescent="0.35">
      <c r="A780" s="1"/>
      <c r="B780" s="2"/>
      <c r="C780" s="2"/>
      <c r="D780" s="2"/>
      <c r="E780" s="2"/>
      <c r="F780" s="2"/>
      <c r="G780" s="3"/>
      <c r="H780" s="2"/>
      <c r="I780" s="2"/>
      <c r="J780" s="2"/>
    </row>
    <row r="781" spans="1:10" ht="15" thickBot="1" x14ac:dyDescent="0.35">
      <c r="A781" s="1"/>
      <c r="B781" s="2"/>
      <c r="C781" s="2"/>
      <c r="D781" s="2"/>
      <c r="E781" s="2"/>
      <c r="F781" s="2"/>
      <c r="G781" s="3"/>
      <c r="H781" s="2"/>
      <c r="I781" s="2"/>
      <c r="J781" s="2"/>
    </row>
    <row r="782" spans="1:10" ht="15" thickBot="1" x14ac:dyDescent="0.35">
      <c r="A782" s="1"/>
      <c r="B782" s="2"/>
      <c r="C782" s="2"/>
      <c r="D782" s="2"/>
      <c r="E782" s="2"/>
      <c r="F782" s="2"/>
      <c r="G782" s="3"/>
      <c r="H782" s="2"/>
      <c r="I782" s="2"/>
      <c r="J782" s="2"/>
    </row>
    <row r="783" spans="1:10" ht="15" thickBot="1" x14ac:dyDescent="0.35">
      <c r="A783" s="1"/>
      <c r="B783" s="2"/>
      <c r="C783" s="2"/>
      <c r="D783" s="2"/>
      <c r="E783" s="2"/>
      <c r="F783" s="2"/>
      <c r="G783" s="3"/>
      <c r="H783" s="2"/>
      <c r="I783" s="2"/>
      <c r="J783" s="2"/>
    </row>
    <row r="784" spans="1:10" ht="15" thickBot="1" x14ac:dyDescent="0.35">
      <c r="A784" s="1"/>
      <c r="B784" s="2"/>
      <c r="C784" s="2"/>
      <c r="D784" s="2"/>
      <c r="E784" s="2"/>
      <c r="F784" s="2"/>
      <c r="G784" s="3"/>
      <c r="H784" s="2"/>
      <c r="I784" s="2"/>
      <c r="J784" s="2"/>
    </row>
    <row r="785" spans="1:10" ht="15" thickBot="1" x14ac:dyDescent="0.35">
      <c r="A785" s="1"/>
      <c r="B785" s="2"/>
      <c r="C785" s="2"/>
      <c r="D785" s="2"/>
      <c r="E785" s="2"/>
      <c r="F785" s="2"/>
      <c r="G785" s="3"/>
      <c r="H785" s="2"/>
      <c r="I785" s="2"/>
      <c r="J785" s="2"/>
    </row>
    <row r="786" spans="1:10" ht="15" thickBot="1" x14ac:dyDescent="0.35">
      <c r="A786" s="1"/>
      <c r="B786" s="2"/>
      <c r="C786" s="2"/>
      <c r="D786" s="2"/>
      <c r="E786" s="2"/>
      <c r="F786" s="2"/>
      <c r="G786" s="3"/>
      <c r="H786" s="2"/>
      <c r="I786" s="2"/>
      <c r="J786" s="2"/>
    </row>
    <row r="787" spans="1:10" ht="15" thickBot="1" x14ac:dyDescent="0.35">
      <c r="A787" s="1"/>
      <c r="B787" s="2"/>
      <c r="C787" s="2"/>
      <c r="D787" s="2"/>
      <c r="E787" s="2"/>
      <c r="F787" s="2"/>
      <c r="G787" s="3"/>
      <c r="H787" s="2"/>
      <c r="I787" s="2"/>
      <c r="J787" s="2"/>
    </row>
    <row r="788" spans="1:10" ht="15" thickBot="1" x14ac:dyDescent="0.35">
      <c r="A788" s="1"/>
      <c r="B788" s="2"/>
      <c r="C788" s="2"/>
      <c r="D788" s="2"/>
      <c r="E788" s="2"/>
      <c r="F788" s="2"/>
      <c r="G788" s="3"/>
      <c r="H788" s="2"/>
      <c r="I788" s="2"/>
      <c r="J788" s="2"/>
    </row>
    <row r="789" spans="1:10" ht="15" thickBot="1" x14ac:dyDescent="0.35">
      <c r="A789" s="1"/>
      <c r="B789" s="2"/>
      <c r="C789" s="2"/>
      <c r="D789" s="2"/>
      <c r="E789" s="2"/>
      <c r="F789" s="2"/>
      <c r="G789" s="3"/>
      <c r="H789" s="2"/>
      <c r="I789" s="2"/>
      <c r="J789" s="2"/>
    </row>
    <row r="790" spans="1:10" ht="15" thickBot="1" x14ac:dyDescent="0.35">
      <c r="A790" s="1"/>
      <c r="B790" s="2"/>
      <c r="C790" s="2"/>
      <c r="D790" s="2"/>
      <c r="E790" s="2"/>
      <c r="F790" s="2"/>
      <c r="G790" s="3"/>
      <c r="H790" s="2"/>
      <c r="I790" s="2"/>
      <c r="J790" s="2"/>
    </row>
    <row r="791" spans="1:10" ht="15" thickBot="1" x14ac:dyDescent="0.35">
      <c r="A791" s="1"/>
      <c r="B791" s="2"/>
      <c r="C791" s="2"/>
      <c r="D791" s="2"/>
      <c r="E791" s="2"/>
      <c r="F791" s="2"/>
      <c r="G791" s="3"/>
      <c r="H791" s="2"/>
      <c r="I791" s="2"/>
      <c r="J791" s="2"/>
    </row>
    <row r="792" spans="1:10" ht="15" thickBot="1" x14ac:dyDescent="0.35">
      <c r="A792" s="1"/>
      <c r="B792" s="2"/>
      <c r="C792" s="2"/>
      <c r="D792" s="2"/>
      <c r="E792" s="2"/>
      <c r="F792" s="2"/>
      <c r="G792" s="3"/>
      <c r="H792" s="2"/>
      <c r="I792" s="2"/>
      <c r="J792" s="2"/>
    </row>
    <row r="793" spans="1:10" ht="15" thickBot="1" x14ac:dyDescent="0.35">
      <c r="A793" s="1"/>
      <c r="B793" s="2"/>
      <c r="C793" s="2"/>
      <c r="D793" s="2"/>
      <c r="E793" s="2"/>
      <c r="F793" s="2"/>
      <c r="G793" s="3"/>
      <c r="H793" s="2"/>
      <c r="I793" s="2"/>
      <c r="J793" s="2"/>
    </row>
    <row r="794" spans="1:10" ht="15" thickBot="1" x14ac:dyDescent="0.35">
      <c r="A794" s="1"/>
      <c r="B794" s="2"/>
      <c r="C794" s="2"/>
      <c r="D794" s="2"/>
      <c r="E794" s="2"/>
      <c r="F794" s="2"/>
      <c r="G794" s="3"/>
      <c r="H794" s="2"/>
      <c r="I794" s="2"/>
      <c r="J794" s="2"/>
    </row>
    <row r="795" spans="1:10" ht="15" thickBot="1" x14ac:dyDescent="0.35">
      <c r="A795" s="1"/>
      <c r="B795" s="2"/>
      <c r="C795" s="2"/>
      <c r="D795" s="2"/>
      <c r="E795" s="2"/>
      <c r="F795" s="2"/>
      <c r="G795" s="3"/>
      <c r="H795" s="2"/>
      <c r="I795" s="2"/>
      <c r="J795" s="2"/>
    </row>
    <row r="796" spans="1:10" ht="15" thickBot="1" x14ac:dyDescent="0.35">
      <c r="A796" s="1"/>
      <c r="B796" s="2"/>
      <c r="C796" s="2"/>
      <c r="D796" s="2"/>
      <c r="E796" s="2"/>
      <c r="F796" s="2"/>
      <c r="G796" s="3"/>
      <c r="H796" s="2"/>
      <c r="I796" s="2"/>
      <c r="J796" s="2"/>
    </row>
    <row r="797" spans="1:10" ht="15" thickBot="1" x14ac:dyDescent="0.35">
      <c r="A797" s="1"/>
      <c r="B797" s="2"/>
      <c r="C797" s="2"/>
      <c r="D797" s="2"/>
      <c r="E797" s="2"/>
      <c r="F797" s="2"/>
      <c r="G797" s="3"/>
      <c r="H797" s="2"/>
      <c r="I797" s="2"/>
      <c r="J797" s="2"/>
    </row>
    <row r="798" spans="1:10" ht="15" thickBot="1" x14ac:dyDescent="0.35">
      <c r="A798" s="1"/>
      <c r="B798" s="2"/>
      <c r="C798" s="2"/>
      <c r="D798" s="2"/>
      <c r="E798" s="2"/>
      <c r="F798" s="2"/>
      <c r="G798" s="3"/>
      <c r="H798" s="2"/>
      <c r="I798" s="2"/>
      <c r="J798" s="2"/>
    </row>
    <row r="799" spans="1:10" ht="15" thickBot="1" x14ac:dyDescent="0.35">
      <c r="A799" s="1"/>
      <c r="B799" s="2"/>
      <c r="C799" s="2"/>
      <c r="D799" s="2"/>
      <c r="E799" s="2"/>
      <c r="F799" s="2"/>
      <c r="G799" s="3"/>
      <c r="H799" s="2"/>
      <c r="I799" s="2"/>
      <c r="J799" s="2"/>
    </row>
    <row r="800" spans="1:10" ht="15" thickBot="1" x14ac:dyDescent="0.35">
      <c r="A800" s="1"/>
      <c r="B800" s="2"/>
      <c r="C800" s="2"/>
      <c r="D800" s="2"/>
      <c r="E800" s="2"/>
      <c r="F800" s="2"/>
      <c r="G800" s="3"/>
      <c r="H800" s="2"/>
      <c r="I800" s="2"/>
      <c r="J800" s="2"/>
    </row>
    <row r="801" spans="1:10" ht="15" thickBot="1" x14ac:dyDescent="0.35">
      <c r="A801" s="1"/>
      <c r="B801" s="2"/>
      <c r="C801" s="2"/>
      <c r="D801" s="2"/>
      <c r="E801" s="2"/>
      <c r="F801" s="2"/>
      <c r="G801" s="3"/>
      <c r="H801" s="2"/>
      <c r="I801" s="2"/>
      <c r="J801" s="2"/>
    </row>
    <row r="802" spans="1:10" ht="15" thickBot="1" x14ac:dyDescent="0.35">
      <c r="A802" s="1"/>
      <c r="B802" s="2"/>
      <c r="C802" s="2"/>
      <c r="D802" s="2"/>
      <c r="E802" s="2"/>
      <c r="F802" s="2"/>
      <c r="G802" s="3"/>
      <c r="H802" s="2"/>
      <c r="I802" s="2"/>
      <c r="J802" s="2"/>
    </row>
    <row r="803" spans="1:10" ht="15" thickBot="1" x14ac:dyDescent="0.35">
      <c r="A803" s="1"/>
      <c r="B803" s="2"/>
      <c r="C803" s="2"/>
      <c r="D803" s="2"/>
      <c r="E803" s="2"/>
      <c r="F803" s="2"/>
      <c r="G803" s="3"/>
      <c r="H803" s="2"/>
      <c r="I803" s="2"/>
      <c r="J803" s="2"/>
    </row>
    <row r="804" spans="1:10" ht="15" thickBot="1" x14ac:dyDescent="0.35">
      <c r="A804" s="1"/>
      <c r="B804" s="2"/>
      <c r="C804" s="2"/>
      <c r="D804" s="2"/>
      <c r="E804" s="2"/>
      <c r="F804" s="2"/>
      <c r="G804" s="3"/>
      <c r="H804" s="2"/>
      <c r="I804" s="2"/>
      <c r="J804" s="2"/>
    </row>
    <row r="805" spans="1:10" ht="15" thickBot="1" x14ac:dyDescent="0.35">
      <c r="A805" s="1"/>
      <c r="B805" s="2"/>
      <c r="C805" s="2"/>
      <c r="D805" s="2"/>
      <c r="E805" s="2"/>
      <c r="F805" s="2"/>
      <c r="G805" s="3"/>
      <c r="H805" s="2"/>
      <c r="I805" s="2"/>
      <c r="J805" s="2"/>
    </row>
    <row r="806" spans="1:10" ht="15" thickBot="1" x14ac:dyDescent="0.35">
      <c r="A806" s="1"/>
      <c r="B806" s="2"/>
      <c r="C806" s="2"/>
      <c r="D806" s="2"/>
      <c r="E806" s="2"/>
      <c r="F806" s="2"/>
      <c r="G806" s="3"/>
      <c r="H806" s="2"/>
      <c r="I806" s="2"/>
      <c r="J806" s="2"/>
    </row>
    <row r="807" spans="1:10" ht="15" thickBot="1" x14ac:dyDescent="0.35">
      <c r="A807" s="1"/>
      <c r="B807" s="2"/>
      <c r="C807" s="2"/>
      <c r="D807" s="2"/>
      <c r="E807" s="2"/>
      <c r="F807" s="2"/>
      <c r="G807" s="3"/>
      <c r="H807" s="2"/>
      <c r="I807" s="2"/>
      <c r="J807" s="2"/>
    </row>
    <row r="808" spans="1:10" ht="15" thickBot="1" x14ac:dyDescent="0.35">
      <c r="A808" s="1"/>
      <c r="B808" s="2"/>
      <c r="C808" s="2"/>
      <c r="D808" s="2"/>
      <c r="E808" s="2"/>
      <c r="F808" s="2"/>
      <c r="G808" s="3"/>
      <c r="H808" s="2"/>
      <c r="I808" s="2"/>
      <c r="J808" s="2"/>
    </row>
    <row r="809" spans="1:10" ht="15" thickBot="1" x14ac:dyDescent="0.35">
      <c r="A809" s="1"/>
      <c r="B809" s="2"/>
      <c r="C809" s="2"/>
      <c r="D809" s="2"/>
      <c r="E809" s="2"/>
      <c r="F809" s="2"/>
      <c r="G809" s="3"/>
      <c r="H809" s="2"/>
      <c r="I809" s="2"/>
      <c r="J809" s="2"/>
    </row>
    <row r="810" spans="1:10" ht="15" thickBot="1" x14ac:dyDescent="0.35">
      <c r="A810" s="1"/>
      <c r="B810" s="2"/>
      <c r="C810" s="2"/>
      <c r="D810" s="2"/>
      <c r="E810" s="2"/>
      <c r="F810" s="2"/>
      <c r="G810" s="3"/>
      <c r="H810" s="2"/>
      <c r="I810" s="2"/>
      <c r="J810" s="2"/>
    </row>
    <row r="811" spans="1:10" ht="15" thickBot="1" x14ac:dyDescent="0.35">
      <c r="A811" s="1"/>
      <c r="B811" s="2"/>
      <c r="C811" s="2"/>
      <c r="D811" s="2"/>
      <c r="E811" s="2"/>
      <c r="F811" s="2"/>
      <c r="G811" s="3"/>
      <c r="H811" s="2"/>
      <c r="I811" s="2"/>
      <c r="J811" s="2"/>
    </row>
    <row r="812" spans="1:10" ht="15" thickBot="1" x14ac:dyDescent="0.35">
      <c r="A812" s="1"/>
      <c r="B812" s="2"/>
      <c r="C812" s="2"/>
      <c r="D812" s="2"/>
      <c r="E812" s="2"/>
      <c r="F812" s="2"/>
      <c r="G812" s="3"/>
      <c r="H812" s="2"/>
      <c r="I812" s="2"/>
      <c r="J812" s="2"/>
    </row>
    <row r="813" spans="1:10" ht="15" thickBot="1" x14ac:dyDescent="0.35">
      <c r="A813" s="1"/>
      <c r="B813" s="2"/>
      <c r="C813" s="2"/>
      <c r="D813" s="2"/>
      <c r="E813" s="2"/>
      <c r="F813" s="2"/>
      <c r="G813" s="3"/>
      <c r="H813" s="2"/>
      <c r="I813" s="2"/>
      <c r="J813" s="2"/>
    </row>
    <row r="814" spans="1:10" ht="15" thickBot="1" x14ac:dyDescent="0.35">
      <c r="A814" s="1"/>
      <c r="B814" s="2"/>
      <c r="C814" s="2"/>
      <c r="D814" s="2"/>
      <c r="E814" s="2"/>
      <c r="F814" s="2"/>
      <c r="G814" s="3"/>
      <c r="H814" s="2"/>
      <c r="I814" s="2"/>
      <c r="J814" s="2"/>
    </row>
    <row r="815" spans="1:10" ht="15" thickBot="1" x14ac:dyDescent="0.35">
      <c r="A815" s="1"/>
      <c r="B815" s="2"/>
      <c r="C815" s="2"/>
      <c r="D815" s="2"/>
      <c r="E815" s="2"/>
      <c r="F815" s="2"/>
      <c r="G815" s="3"/>
      <c r="H815" s="2"/>
      <c r="I815" s="2"/>
      <c r="J815" s="2"/>
    </row>
    <row r="816" spans="1:10" ht="15" thickBot="1" x14ac:dyDescent="0.35">
      <c r="A816" s="1"/>
      <c r="B816" s="2"/>
      <c r="C816" s="2"/>
      <c r="D816" s="2"/>
      <c r="E816" s="2"/>
      <c r="F816" s="2"/>
      <c r="G816" s="3"/>
      <c r="H816" s="2"/>
      <c r="I816" s="2"/>
      <c r="J816" s="2"/>
    </row>
    <row r="817" spans="1:10" ht="15" thickBot="1" x14ac:dyDescent="0.35">
      <c r="A817" s="1"/>
      <c r="B817" s="2"/>
      <c r="C817" s="2"/>
      <c r="D817" s="2"/>
      <c r="E817" s="2"/>
      <c r="F817" s="2"/>
      <c r="G817" s="3"/>
      <c r="H817" s="2"/>
      <c r="I817" s="2"/>
      <c r="J817" s="2"/>
    </row>
    <row r="818" spans="1:10" ht="15" thickBot="1" x14ac:dyDescent="0.35">
      <c r="A818" s="1"/>
      <c r="B818" s="2"/>
      <c r="C818" s="2"/>
      <c r="D818" s="2"/>
      <c r="E818" s="2"/>
      <c r="F818" s="2"/>
      <c r="G818" s="3"/>
      <c r="H818" s="2"/>
      <c r="I818" s="2"/>
      <c r="J818" s="2"/>
    </row>
    <row r="819" spans="1:10" ht="15" thickBot="1" x14ac:dyDescent="0.35">
      <c r="A819" s="1"/>
      <c r="B819" s="2"/>
      <c r="C819" s="2"/>
      <c r="D819" s="2"/>
      <c r="E819" s="2"/>
      <c r="F819" s="2"/>
      <c r="G819" s="3"/>
      <c r="H819" s="2"/>
      <c r="I819" s="2"/>
      <c r="J819" s="2"/>
    </row>
    <row r="820" spans="1:10" ht="15" thickBot="1" x14ac:dyDescent="0.35">
      <c r="A820" s="1"/>
      <c r="B820" s="2"/>
      <c r="C820" s="2"/>
      <c r="D820" s="2"/>
      <c r="E820" s="2"/>
      <c r="F820" s="2"/>
      <c r="G820" s="3"/>
      <c r="H820" s="2"/>
      <c r="I820" s="2"/>
      <c r="J820" s="2"/>
    </row>
    <row r="821" spans="1:10" ht="15" thickBot="1" x14ac:dyDescent="0.35">
      <c r="A821" s="1"/>
      <c r="B821" s="2"/>
      <c r="C821" s="2"/>
      <c r="D821" s="2"/>
      <c r="E821" s="2"/>
      <c r="F821" s="2"/>
      <c r="G821" s="3"/>
      <c r="H821" s="2"/>
      <c r="I821" s="2"/>
      <c r="J821" s="2"/>
    </row>
    <row r="822" spans="1:10" ht="15" thickBot="1" x14ac:dyDescent="0.35">
      <c r="A822" s="1"/>
      <c r="B822" s="2"/>
      <c r="C822" s="2"/>
      <c r="D822" s="2"/>
      <c r="E822" s="2"/>
      <c r="F822" s="2"/>
      <c r="G822" s="3"/>
      <c r="H822" s="2"/>
      <c r="I822" s="2"/>
      <c r="J822" s="2"/>
    </row>
    <row r="823" spans="1:10" ht="15" thickBot="1" x14ac:dyDescent="0.35">
      <c r="A823" s="1"/>
      <c r="B823" s="2"/>
      <c r="C823" s="2"/>
      <c r="D823" s="2"/>
      <c r="E823" s="2"/>
      <c r="F823" s="2"/>
      <c r="G823" s="3"/>
      <c r="H823" s="2"/>
      <c r="I823" s="2"/>
      <c r="J823" s="2"/>
    </row>
    <row r="824" spans="1:10" ht="15" thickBot="1" x14ac:dyDescent="0.35">
      <c r="A824" s="1"/>
      <c r="B824" s="2"/>
      <c r="C824" s="2"/>
      <c r="D824" s="2"/>
      <c r="E824" s="2"/>
      <c r="F824" s="2"/>
      <c r="G824" s="3"/>
      <c r="H824" s="2"/>
      <c r="I824" s="2"/>
      <c r="J824" s="2"/>
    </row>
    <row r="825" spans="1:10" ht="15" thickBot="1" x14ac:dyDescent="0.35">
      <c r="A825" s="1"/>
      <c r="B825" s="2"/>
      <c r="C825" s="2"/>
      <c r="D825" s="2"/>
      <c r="E825" s="2"/>
      <c r="F825" s="2"/>
      <c r="G825" s="3"/>
      <c r="H825" s="2"/>
      <c r="I825" s="2"/>
      <c r="J825" s="2"/>
    </row>
    <row r="826" spans="1:10" ht="15" thickBot="1" x14ac:dyDescent="0.35">
      <c r="A826" s="1"/>
      <c r="B826" s="2"/>
      <c r="C826" s="2"/>
      <c r="D826" s="2"/>
      <c r="E826" s="2"/>
      <c r="F826" s="2"/>
      <c r="G826" s="3"/>
      <c r="H826" s="2"/>
      <c r="I826" s="2"/>
      <c r="J826" s="2"/>
    </row>
    <row r="827" spans="1:10" ht="15" thickBot="1" x14ac:dyDescent="0.35">
      <c r="A827" s="1"/>
      <c r="B827" s="2"/>
      <c r="C827" s="2"/>
      <c r="D827" s="2"/>
      <c r="E827" s="2"/>
      <c r="F827" s="2"/>
      <c r="G827" s="3"/>
      <c r="H827" s="2"/>
      <c r="I827" s="2"/>
      <c r="J827" s="2"/>
    </row>
    <row r="828" spans="1:10" ht="15" thickBot="1" x14ac:dyDescent="0.35">
      <c r="A828" s="1"/>
      <c r="B828" s="2"/>
      <c r="C828" s="2"/>
      <c r="D828" s="2"/>
      <c r="E828" s="2"/>
      <c r="F828" s="2"/>
      <c r="G828" s="3"/>
      <c r="H828" s="2"/>
      <c r="I828" s="2"/>
      <c r="J828" s="2"/>
    </row>
    <row r="829" spans="1:10" ht="15" thickBot="1" x14ac:dyDescent="0.35">
      <c r="A829" s="1"/>
      <c r="B829" s="2"/>
      <c r="C829" s="2"/>
      <c r="D829" s="2"/>
      <c r="E829" s="2"/>
      <c r="F829" s="2"/>
      <c r="G829" s="3"/>
      <c r="H829" s="2"/>
      <c r="I829" s="2"/>
      <c r="J829" s="2"/>
    </row>
    <row r="830" spans="1:10" ht="15" thickBot="1" x14ac:dyDescent="0.35">
      <c r="A830" s="1"/>
      <c r="B830" s="2"/>
      <c r="C830" s="2"/>
      <c r="D830" s="2"/>
      <c r="E830" s="2"/>
      <c r="F830" s="2"/>
      <c r="G830" s="3"/>
      <c r="H830" s="2"/>
      <c r="I830" s="2"/>
      <c r="J830" s="2"/>
    </row>
    <row r="831" spans="1:10" ht="15" thickBot="1" x14ac:dyDescent="0.35">
      <c r="A831" s="1"/>
      <c r="B831" s="2"/>
      <c r="C831" s="2"/>
      <c r="D831" s="2"/>
      <c r="E831" s="2"/>
      <c r="F831" s="2"/>
      <c r="G831" s="3"/>
      <c r="H831" s="2"/>
      <c r="I831" s="2"/>
      <c r="J831" s="2"/>
    </row>
    <row r="832" spans="1:10" ht="15" thickBot="1" x14ac:dyDescent="0.35">
      <c r="A832" s="1"/>
      <c r="B832" s="2"/>
      <c r="C832" s="2"/>
      <c r="D832" s="2"/>
      <c r="E832" s="2"/>
      <c r="F832" s="2"/>
      <c r="G832" s="3"/>
      <c r="H832" s="2"/>
      <c r="I832" s="2"/>
      <c r="J832" s="2"/>
    </row>
    <row r="833" spans="1:10" ht="15" thickBot="1" x14ac:dyDescent="0.35">
      <c r="A833" s="1"/>
      <c r="B833" s="2"/>
      <c r="C833" s="2"/>
      <c r="D833" s="2"/>
      <c r="E833" s="2"/>
      <c r="F833" s="2"/>
      <c r="G833" s="3"/>
      <c r="H833" s="2"/>
      <c r="I833" s="2"/>
      <c r="J833" s="2"/>
    </row>
    <row r="834" spans="1:10" ht="15" thickBot="1" x14ac:dyDescent="0.35">
      <c r="A834" s="1"/>
      <c r="B834" s="2"/>
      <c r="C834" s="2"/>
      <c r="D834" s="2"/>
      <c r="E834" s="2"/>
      <c r="F834" s="2"/>
      <c r="G834" s="3"/>
      <c r="H834" s="2"/>
      <c r="I834" s="2"/>
      <c r="J834" s="2"/>
    </row>
    <row r="835" spans="1:10" ht="15" thickBot="1" x14ac:dyDescent="0.35">
      <c r="A835" s="1"/>
      <c r="B835" s="2"/>
      <c r="C835" s="2"/>
      <c r="D835" s="2"/>
      <c r="E835" s="2"/>
      <c r="F835" s="2"/>
      <c r="G835" s="3"/>
      <c r="H835" s="2"/>
      <c r="I835" s="2"/>
      <c r="J835" s="2"/>
    </row>
    <row r="836" spans="1:10" ht="15" thickBot="1" x14ac:dyDescent="0.35">
      <c r="A836" s="1"/>
      <c r="B836" s="2"/>
      <c r="C836" s="2"/>
      <c r="D836" s="2"/>
      <c r="E836" s="2"/>
      <c r="F836" s="2"/>
      <c r="G836" s="3"/>
      <c r="H836" s="2"/>
      <c r="I836" s="2"/>
      <c r="J836" s="2"/>
    </row>
    <row r="837" spans="1:10" ht="15" thickBot="1" x14ac:dyDescent="0.35">
      <c r="A837" s="1"/>
      <c r="B837" s="2"/>
      <c r="C837" s="2"/>
      <c r="D837" s="2"/>
      <c r="E837" s="2"/>
      <c r="F837" s="2"/>
      <c r="G837" s="3"/>
      <c r="H837" s="2"/>
      <c r="I837" s="2"/>
      <c r="J837" s="2"/>
    </row>
    <row r="838" spans="1:10" ht="15" thickBot="1" x14ac:dyDescent="0.35">
      <c r="A838" s="1"/>
      <c r="B838" s="2"/>
      <c r="C838" s="2"/>
      <c r="D838" s="2"/>
      <c r="E838" s="2"/>
      <c r="F838" s="2"/>
      <c r="G838" s="3"/>
      <c r="H838" s="2"/>
      <c r="I838" s="2"/>
      <c r="J838" s="2"/>
    </row>
    <row r="839" spans="1:10" ht="15" thickBot="1" x14ac:dyDescent="0.35">
      <c r="A839" s="1"/>
      <c r="B839" s="2"/>
      <c r="C839" s="2"/>
      <c r="D839" s="2"/>
      <c r="E839" s="2"/>
      <c r="F839" s="2"/>
      <c r="G839" s="3"/>
      <c r="H839" s="2"/>
      <c r="I839" s="2"/>
      <c r="J839" s="2"/>
    </row>
    <row r="840" spans="1:10" ht="15" thickBot="1" x14ac:dyDescent="0.35">
      <c r="A840" s="1"/>
      <c r="B840" s="2"/>
      <c r="C840" s="2"/>
      <c r="D840" s="2"/>
      <c r="E840" s="2"/>
      <c r="F840" s="2"/>
      <c r="G840" s="3"/>
      <c r="H840" s="2"/>
      <c r="I840" s="2"/>
      <c r="J840" s="2"/>
    </row>
    <row r="841" spans="1:10" ht="15" thickBot="1" x14ac:dyDescent="0.35">
      <c r="A841" s="1"/>
      <c r="B841" s="2"/>
      <c r="C841" s="2"/>
      <c r="D841" s="2"/>
      <c r="E841" s="2"/>
      <c r="F841" s="2"/>
      <c r="G841" s="3"/>
      <c r="H841" s="2"/>
      <c r="I841" s="2"/>
      <c r="J841" s="2"/>
    </row>
    <row r="842" spans="1:10" ht="15" thickBot="1" x14ac:dyDescent="0.35">
      <c r="A842" s="1"/>
      <c r="B842" s="2"/>
      <c r="C842" s="2"/>
      <c r="D842" s="2"/>
      <c r="E842" s="2"/>
      <c r="F842" s="2"/>
      <c r="G842" s="3"/>
      <c r="H842" s="2"/>
      <c r="I842" s="2"/>
      <c r="J842" s="2"/>
    </row>
    <row r="843" spans="1:10" ht="15" thickBot="1" x14ac:dyDescent="0.35">
      <c r="A843" s="1"/>
      <c r="B843" s="2"/>
      <c r="C843" s="2"/>
      <c r="D843" s="2"/>
      <c r="E843" s="2"/>
      <c r="F843" s="2"/>
      <c r="G843" s="3"/>
      <c r="H843" s="2"/>
      <c r="I843" s="2"/>
      <c r="J843" s="2"/>
    </row>
    <row r="844" spans="1:10" ht="15" thickBot="1" x14ac:dyDescent="0.35">
      <c r="A844" s="1"/>
      <c r="B844" s="2"/>
      <c r="C844" s="2"/>
      <c r="D844" s="2"/>
      <c r="E844" s="2"/>
      <c r="F844" s="2"/>
      <c r="G844" s="3"/>
      <c r="H844" s="2"/>
      <c r="I844" s="2"/>
      <c r="J844" s="2"/>
    </row>
    <row r="845" spans="1:10" ht="15" thickBot="1" x14ac:dyDescent="0.35">
      <c r="A845" s="1"/>
      <c r="B845" s="2"/>
      <c r="C845" s="2"/>
      <c r="D845" s="2"/>
      <c r="E845" s="2"/>
      <c r="F845" s="2"/>
      <c r="G845" s="3"/>
      <c r="H845" s="2"/>
      <c r="I845" s="2"/>
      <c r="J845" s="2"/>
    </row>
    <row r="846" spans="1:10" ht="15" thickBot="1" x14ac:dyDescent="0.35">
      <c r="A846" s="1"/>
      <c r="B846" s="2"/>
      <c r="C846" s="2"/>
      <c r="D846" s="2"/>
      <c r="E846" s="2"/>
      <c r="F846" s="2"/>
      <c r="G846" s="3"/>
      <c r="H846" s="2"/>
      <c r="I846" s="2"/>
      <c r="J846" s="2"/>
    </row>
    <row r="847" spans="1:10" ht="15" thickBot="1" x14ac:dyDescent="0.35">
      <c r="A847" s="1"/>
      <c r="B847" s="2"/>
      <c r="C847" s="2"/>
      <c r="D847" s="2"/>
      <c r="E847" s="2"/>
      <c r="F847" s="2"/>
      <c r="G847" s="3"/>
      <c r="H847" s="2"/>
      <c r="I847" s="2"/>
      <c r="J847" s="2"/>
    </row>
    <row r="848" spans="1:10" ht="15" thickBot="1" x14ac:dyDescent="0.35">
      <c r="A848" s="1"/>
      <c r="B848" s="2"/>
      <c r="C848" s="2"/>
      <c r="D848" s="2"/>
      <c r="E848" s="2"/>
      <c r="F848" s="2"/>
      <c r="G848" s="3"/>
      <c r="H848" s="2"/>
      <c r="I848" s="2"/>
      <c r="J848" s="2"/>
    </row>
    <row r="849" spans="1:10" ht="15" thickBot="1" x14ac:dyDescent="0.35">
      <c r="A849" s="1"/>
      <c r="B849" s="2"/>
      <c r="C849" s="2"/>
      <c r="D849" s="2"/>
      <c r="E849" s="2"/>
      <c r="F849" s="2"/>
      <c r="G849" s="3"/>
      <c r="H849" s="2"/>
      <c r="I849" s="2"/>
      <c r="J849" s="2"/>
    </row>
    <row r="850" spans="1:10" ht="15" thickBot="1" x14ac:dyDescent="0.35">
      <c r="A850" s="1"/>
      <c r="B850" s="2"/>
      <c r="C850" s="2"/>
      <c r="D850" s="2"/>
      <c r="E850" s="2"/>
      <c r="F850" s="2"/>
      <c r="G850" s="3"/>
      <c r="H850" s="2"/>
      <c r="I850" s="2"/>
      <c r="J850" s="2"/>
    </row>
    <row r="851" spans="1:10" ht="15" thickBot="1" x14ac:dyDescent="0.35">
      <c r="A851" s="1"/>
      <c r="B851" s="2"/>
      <c r="C851" s="2"/>
      <c r="D851" s="2"/>
      <c r="E851" s="2"/>
      <c r="F851" s="2"/>
      <c r="G851" s="3"/>
      <c r="H851" s="2"/>
      <c r="I851" s="2"/>
      <c r="J851" s="2"/>
    </row>
    <row r="852" spans="1:10" ht="15" thickBot="1" x14ac:dyDescent="0.35">
      <c r="A852" s="1"/>
      <c r="B852" s="2"/>
      <c r="C852" s="2"/>
      <c r="D852" s="2"/>
      <c r="E852" s="2"/>
      <c r="F852" s="2"/>
      <c r="G852" s="3"/>
      <c r="H852" s="2"/>
      <c r="I852" s="2"/>
      <c r="J852" s="2"/>
    </row>
    <row r="853" spans="1:10" ht="15" thickBot="1" x14ac:dyDescent="0.35">
      <c r="A853" s="1"/>
      <c r="B853" s="2"/>
      <c r="C853" s="2"/>
      <c r="D853" s="2"/>
      <c r="E853" s="2"/>
      <c r="F853" s="2"/>
      <c r="G853" s="3"/>
      <c r="H853" s="2"/>
      <c r="I853" s="2"/>
      <c r="J853" s="2"/>
    </row>
    <row r="854" spans="1:10" ht="15" thickBot="1" x14ac:dyDescent="0.35">
      <c r="A854" s="1"/>
      <c r="B854" s="2"/>
      <c r="C854" s="2"/>
      <c r="D854" s="2"/>
      <c r="E854" s="2"/>
      <c r="F854" s="2"/>
      <c r="G854" s="3"/>
      <c r="H854" s="2"/>
      <c r="I854" s="2"/>
      <c r="J854" s="2"/>
    </row>
    <row r="855" spans="1:10" ht="15" thickBot="1" x14ac:dyDescent="0.35">
      <c r="A855" s="1"/>
      <c r="B855" s="2"/>
      <c r="C855" s="2"/>
      <c r="D855" s="2"/>
      <c r="E855" s="2"/>
      <c r="F855" s="2"/>
      <c r="G855" s="3"/>
      <c r="H855" s="2"/>
      <c r="I855" s="2"/>
      <c r="J855" s="2"/>
    </row>
    <row r="856" spans="1:10" ht="15" thickBot="1" x14ac:dyDescent="0.35">
      <c r="A856" s="1"/>
      <c r="B856" s="2"/>
      <c r="C856" s="2"/>
      <c r="D856" s="2"/>
      <c r="E856" s="2"/>
      <c r="F856" s="2"/>
      <c r="G856" s="3"/>
      <c r="H856" s="2"/>
      <c r="I856" s="2"/>
      <c r="J856" s="2"/>
    </row>
    <row r="857" spans="1:10" ht="15" thickBot="1" x14ac:dyDescent="0.35">
      <c r="A857" s="1"/>
      <c r="B857" s="2"/>
      <c r="C857" s="2"/>
      <c r="D857" s="2"/>
      <c r="E857" s="2"/>
      <c r="F857" s="2"/>
      <c r="G857" s="3"/>
      <c r="H857" s="2"/>
      <c r="I857" s="2"/>
      <c r="J857" s="2"/>
    </row>
    <row r="858" spans="1:10" ht="15" thickBot="1" x14ac:dyDescent="0.35">
      <c r="A858" s="1"/>
      <c r="B858" s="2"/>
      <c r="C858" s="2"/>
      <c r="D858" s="2"/>
      <c r="E858" s="2"/>
      <c r="F858" s="2"/>
      <c r="G858" s="3"/>
      <c r="H858" s="2"/>
      <c r="I858" s="2"/>
      <c r="J858" s="2"/>
    </row>
    <row r="859" spans="1:10" ht="15" thickBot="1" x14ac:dyDescent="0.35">
      <c r="A859" s="1"/>
      <c r="B859" s="2"/>
      <c r="C859" s="2"/>
      <c r="D859" s="2"/>
      <c r="E859" s="2"/>
      <c r="F859" s="2"/>
      <c r="G859" s="3"/>
      <c r="H859" s="2"/>
      <c r="I859" s="2"/>
      <c r="J859" s="2"/>
    </row>
    <row r="860" spans="1:10" ht="15" thickBot="1" x14ac:dyDescent="0.35">
      <c r="A860" s="1"/>
      <c r="B860" s="2"/>
      <c r="C860" s="2"/>
      <c r="D860" s="2"/>
      <c r="E860" s="2"/>
      <c r="F860" s="2"/>
      <c r="G860" s="3"/>
      <c r="H860" s="2"/>
      <c r="I860" s="2"/>
      <c r="J860" s="2"/>
    </row>
    <row r="861" spans="1:10" ht="15" thickBot="1" x14ac:dyDescent="0.35">
      <c r="A861" s="1"/>
      <c r="B861" s="2"/>
      <c r="C861" s="2"/>
      <c r="D861" s="2"/>
      <c r="E861" s="2"/>
      <c r="F861" s="2"/>
      <c r="G861" s="3"/>
      <c r="H861" s="2"/>
      <c r="I861" s="2"/>
      <c r="J861" s="2"/>
    </row>
    <row r="862" spans="1:10" ht="15" thickBot="1" x14ac:dyDescent="0.35">
      <c r="A862" s="1"/>
      <c r="B862" s="2"/>
      <c r="C862" s="2"/>
      <c r="D862" s="2"/>
      <c r="E862" s="2"/>
      <c r="F862" s="2"/>
      <c r="G862" s="3"/>
      <c r="H862" s="2"/>
      <c r="I862" s="2"/>
      <c r="J862" s="2"/>
    </row>
    <row r="863" spans="1:10" ht="15" thickBot="1" x14ac:dyDescent="0.35">
      <c r="A863" s="1"/>
      <c r="B863" s="2"/>
      <c r="C863" s="2"/>
      <c r="D863" s="2"/>
      <c r="E863" s="2"/>
      <c r="F863" s="2"/>
      <c r="G863" s="3"/>
      <c r="H863" s="2"/>
      <c r="I863" s="2"/>
      <c r="J863" s="2"/>
    </row>
    <row r="864" spans="1:10" ht="15" thickBot="1" x14ac:dyDescent="0.35">
      <c r="A864" s="1"/>
      <c r="B864" s="2"/>
      <c r="C864" s="2"/>
      <c r="D864" s="2"/>
      <c r="E864" s="2"/>
      <c r="F864" s="2"/>
      <c r="G864" s="3"/>
      <c r="H864" s="2"/>
      <c r="I864" s="2"/>
      <c r="J864" s="2"/>
    </row>
    <row r="865" spans="1:10" ht="15" thickBot="1" x14ac:dyDescent="0.35">
      <c r="A865" s="1"/>
      <c r="B865" s="2"/>
      <c r="C865" s="2"/>
      <c r="D865" s="2"/>
      <c r="E865" s="2"/>
      <c r="F865" s="2"/>
      <c r="G865" s="3"/>
      <c r="H865" s="2"/>
      <c r="I865" s="2"/>
      <c r="J865" s="2"/>
    </row>
    <row r="866" spans="1:10" ht="15" thickBot="1" x14ac:dyDescent="0.35">
      <c r="A866" s="1"/>
      <c r="B866" s="2"/>
      <c r="C866" s="2"/>
      <c r="D866" s="2"/>
      <c r="E866" s="2"/>
      <c r="F866" s="2"/>
      <c r="G866" s="3"/>
      <c r="H866" s="2"/>
      <c r="I866" s="2"/>
      <c r="J866" s="2"/>
    </row>
    <row r="867" spans="1:10" ht="15" thickBot="1" x14ac:dyDescent="0.35">
      <c r="A867" s="1"/>
      <c r="B867" s="2"/>
      <c r="C867" s="2"/>
      <c r="D867" s="2"/>
      <c r="E867" s="2"/>
      <c r="F867" s="2"/>
      <c r="G867" s="3"/>
      <c r="H867" s="2"/>
      <c r="I867" s="2"/>
      <c r="J867" s="2"/>
    </row>
    <row r="868" spans="1:10" ht="15" thickBot="1" x14ac:dyDescent="0.35">
      <c r="A868" s="1"/>
      <c r="B868" s="2"/>
      <c r="C868" s="2"/>
      <c r="D868" s="2"/>
      <c r="E868" s="2"/>
      <c r="F868" s="2"/>
      <c r="G868" s="3"/>
      <c r="H868" s="2"/>
      <c r="I868" s="2"/>
      <c r="J868" s="2"/>
    </row>
    <row r="869" spans="1:10" ht="15" thickBot="1" x14ac:dyDescent="0.35">
      <c r="A869" s="1"/>
      <c r="B869" s="2"/>
      <c r="C869" s="2"/>
      <c r="D869" s="2"/>
      <c r="E869" s="2"/>
      <c r="F869" s="2"/>
      <c r="G869" s="3"/>
      <c r="H869" s="2"/>
      <c r="I869" s="2"/>
      <c r="J869" s="2"/>
    </row>
    <row r="870" spans="1:10" ht="15" thickBot="1" x14ac:dyDescent="0.35">
      <c r="A870" s="1"/>
      <c r="B870" s="2"/>
      <c r="C870" s="2"/>
      <c r="D870" s="2"/>
      <c r="E870" s="2"/>
      <c r="F870" s="2"/>
      <c r="G870" s="3"/>
      <c r="H870" s="2"/>
      <c r="I870" s="2"/>
      <c r="J870" s="2"/>
    </row>
    <row r="871" spans="1:10" ht="15" thickBot="1" x14ac:dyDescent="0.35">
      <c r="A871" s="1"/>
      <c r="B871" s="2"/>
      <c r="C871" s="2"/>
      <c r="D871" s="2"/>
      <c r="E871" s="2"/>
      <c r="F871" s="2"/>
      <c r="G871" s="3"/>
      <c r="H871" s="2"/>
      <c r="I871" s="2"/>
      <c r="J871" s="2"/>
    </row>
    <row r="872" spans="1:10" ht="15" thickBot="1" x14ac:dyDescent="0.35">
      <c r="A872" s="1"/>
      <c r="B872" s="2"/>
      <c r="C872" s="2"/>
      <c r="D872" s="2"/>
      <c r="E872" s="2"/>
      <c r="F872" s="2"/>
      <c r="G872" s="3"/>
      <c r="H872" s="2"/>
      <c r="I872" s="2"/>
      <c r="J872" s="2"/>
    </row>
    <row r="873" spans="1:10" ht="15" thickBot="1" x14ac:dyDescent="0.35">
      <c r="A873" s="1"/>
      <c r="B873" s="2"/>
      <c r="C873" s="2"/>
      <c r="D873" s="2"/>
      <c r="E873" s="2"/>
      <c r="F873" s="2"/>
      <c r="G873" s="3"/>
      <c r="H873" s="2"/>
      <c r="I873" s="2"/>
      <c r="J873" s="2"/>
    </row>
    <row r="874" spans="1:10" ht="15" thickBot="1" x14ac:dyDescent="0.35">
      <c r="A874" s="1"/>
      <c r="B874" s="2"/>
      <c r="C874" s="2"/>
      <c r="D874" s="2"/>
      <c r="E874" s="2"/>
      <c r="F874" s="2"/>
      <c r="G874" s="3"/>
      <c r="H874" s="2"/>
      <c r="I874" s="2"/>
      <c r="J874" s="2"/>
    </row>
    <row r="875" spans="1:10" ht="15" thickBot="1" x14ac:dyDescent="0.35">
      <c r="A875" s="1"/>
      <c r="B875" s="2"/>
      <c r="C875" s="2"/>
      <c r="D875" s="2"/>
      <c r="E875" s="2"/>
      <c r="F875" s="2"/>
      <c r="G875" s="3"/>
      <c r="H875" s="2"/>
      <c r="I875" s="2"/>
      <c r="J875" s="2"/>
    </row>
    <row r="876" spans="1:10" ht="15" thickBot="1" x14ac:dyDescent="0.35">
      <c r="A876" s="1"/>
      <c r="B876" s="2"/>
      <c r="C876" s="2"/>
      <c r="D876" s="2"/>
      <c r="E876" s="2"/>
      <c r="F876" s="2"/>
      <c r="G876" s="3"/>
      <c r="H876" s="2"/>
      <c r="I876" s="2"/>
      <c r="J876" s="2"/>
    </row>
    <row r="877" spans="1:10" ht="15" thickBot="1" x14ac:dyDescent="0.35">
      <c r="A877" s="1"/>
      <c r="B877" s="2"/>
      <c r="C877" s="2"/>
      <c r="D877" s="2"/>
      <c r="E877" s="2"/>
      <c r="F877" s="2"/>
      <c r="G877" s="3"/>
      <c r="H877" s="2"/>
      <c r="I877" s="2"/>
      <c r="J877" s="2"/>
    </row>
    <row r="878" spans="1:10" ht="15" thickBot="1" x14ac:dyDescent="0.35">
      <c r="A878" s="1"/>
      <c r="B878" s="2"/>
      <c r="C878" s="2"/>
      <c r="D878" s="2"/>
      <c r="E878" s="2"/>
      <c r="F878" s="2"/>
      <c r="G878" s="3"/>
      <c r="H878" s="2"/>
      <c r="I878" s="2"/>
      <c r="J878" s="2"/>
    </row>
    <row r="879" spans="1:10" ht="15" thickBot="1" x14ac:dyDescent="0.35">
      <c r="A879" s="1"/>
      <c r="B879" s="2"/>
      <c r="C879" s="2"/>
      <c r="D879" s="2"/>
      <c r="E879" s="2"/>
      <c r="F879" s="2"/>
      <c r="G879" s="3"/>
      <c r="H879" s="2"/>
      <c r="I879" s="2"/>
      <c r="J879" s="2"/>
    </row>
    <row r="880" spans="1:10" ht="15" thickBot="1" x14ac:dyDescent="0.35">
      <c r="A880" s="1"/>
      <c r="B880" s="2"/>
      <c r="C880" s="2"/>
      <c r="D880" s="2"/>
      <c r="E880" s="2"/>
      <c r="F880" s="2"/>
      <c r="G880" s="3"/>
      <c r="H880" s="2"/>
      <c r="I880" s="2"/>
      <c r="J880" s="2"/>
    </row>
    <row r="881" spans="1:10" ht="15" thickBot="1" x14ac:dyDescent="0.35">
      <c r="A881" s="1"/>
      <c r="B881" s="2"/>
      <c r="C881" s="2"/>
      <c r="D881" s="2"/>
      <c r="E881" s="2"/>
      <c r="F881" s="2"/>
      <c r="G881" s="3"/>
      <c r="H881" s="2"/>
      <c r="I881" s="2"/>
      <c r="J881" s="2"/>
    </row>
    <row r="882" spans="1:10" ht="15" thickBot="1" x14ac:dyDescent="0.35">
      <c r="A882" s="1"/>
      <c r="B882" s="2"/>
      <c r="C882" s="2"/>
      <c r="D882" s="2"/>
      <c r="E882" s="2"/>
      <c r="F882" s="2"/>
      <c r="G882" s="3"/>
      <c r="H882" s="2"/>
      <c r="I882" s="2"/>
      <c r="J882" s="2"/>
    </row>
    <row r="883" spans="1:10" ht="15" thickBot="1" x14ac:dyDescent="0.35">
      <c r="A883" s="1"/>
      <c r="B883" s="2"/>
      <c r="C883" s="2"/>
      <c r="D883" s="2"/>
      <c r="E883" s="2"/>
      <c r="F883" s="2"/>
      <c r="G883" s="3"/>
      <c r="H883" s="2"/>
      <c r="I883" s="2"/>
      <c r="J883" s="2"/>
    </row>
    <row r="884" spans="1:10" ht="15" thickBot="1" x14ac:dyDescent="0.35">
      <c r="A884" s="1"/>
      <c r="B884" s="2"/>
      <c r="C884" s="2"/>
      <c r="D884" s="2"/>
      <c r="E884" s="2"/>
      <c r="F884" s="2"/>
      <c r="G884" s="3"/>
      <c r="H884" s="2"/>
      <c r="I884" s="2"/>
      <c r="J884" s="2"/>
    </row>
    <row r="885" spans="1:10" ht="15" thickBot="1" x14ac:dyDescent="0.35">
      <c r="A885" s="1"/>
      <c r="B885" s="2"/>
      <c r="C885" s="2"/>
      <c r="D885" s="2"/>
      <c r="E885" s="2"/>
      <c r="F885" s="2"/>
      <c r="G885" s="3"/>
      <c r="H885" s="2"/>
      <c r="I885" s="2"/>
      <c r="J885" s="2"/>
    </row>
    <row r="886" spans="1:10" ht="15" thickBot="1" x14ac:dyDescent="0.35">
      <c r="A886" s="1"/>
      <c r="B886" s="2"/>
      <c r="C886" s="2"/>
      <c r="D886" s="2"/>
      <c r="E886" s="2"/>
      <c r="F886" s="2"/>
      <c r="G886" s="3"/>
      <c r="H886" s="2"/>
      <c r="I886" s="2"/>
      <c r="J886" s="2"/>
    </row>
    <row r="887" spans="1:10" ht="15" thickBot="1" x14ac:dyDescent="0.35">
      <c r="A887" s="1"/>
      <c r="B887" s="2"/>
      <c r="C887" s="2"/>
      <c r="D887" s="2"/>
      <c r="E887" s="2"/>
      <c r="F887" s="2"/>
      <c r="G887" s="3"/>
      <c r="H887" s="2"/>
      <c r="I887" s="2"/>
      <c r="J887" s="2"/>
    </row>
    <row r="888" spans="1:10" ht="15" thickBot="1" x14ac:dyDescent="0.35">
      <c r="A888" s="1"/>
      <c r="B888" s="2"/>
      <c r="C888" s="2"/>
      <c r="D888" s="2"/>
      <c r="E888" s="2"/>
      <c r="F888" s="2"/>
      <c r="G888" s="3"/>
      <c r="H888" s="2"/>
      <c r="I888" s="2"/>
      <c r="J888" s="2"/>
    </row>
    <row r="889" spans="1:10" ht="15" thickBot="1" x14ac:dyDescent="0.35">
      <c r="A889" s="1"/>
      <c r="B889" s="2"/>
      <c r="C889" s="2"/>
      <c r="D889" s="2"/>
      <c r="E889" s="2"/>
      <c r="F889" s="2"/>
      <c r="G889" s="3"/>
      <c r="H889" s="2"/>
      <c r="I889" s="2"/>
      <c r="J889" s="2"/>
    </row>
    <row r="890" spans="1:10" ht="15" thickBot="1" x14ac:dyDescent="0.35">
      <c r="A890" s="1"/>
      <c r="B890" s="2"/>
      <c r="C890" s="2"/>
      <c r="D890" s="2"/>
      <c r="E890" s="2"/>
      <c r="F890" s="2"/>
      <c r="G890" s="3"/>
      <c r="H890" s="2"/>
      <c r="I890" s="2"/>
      <c r="J890" s="2"/>
    </row>
    <row r="891" spans="1:10" ht="15" thickBot="1" x14ac:dyDescent="0.35">
      <c r="A891" s="1"/>
      <c r="B891" s="2"/>
      <c r="C891" s="2"/>
      <c r="D891" s="2"/>
      <c r="E891" s="2"/>
      <c r="F891" s="2"/>
      <c r="G891" s="3"/>
      <c r="H891" s="2"/>
      <c r="I891" s="2"/>
      <c r="J891" s="2"/>
    </row>
    <row r="892" spans="1:10" ht="15" thickBot="1" x14ac:dyDescent="0.35">
      <c r="A892" s="1"/>
      <c r="B892" s="2"/>
      <c r="C892" s="2"/>
      <c r="D892" s="2"/>
      <c r="E892" s="2"/>
      <c r="F892" s="2"/>
      <c r="G892" s="3"/>
      <c r="H892" s="2"/>
      <c r="I892" s="2"/>
      <c r="J892" s="2"/>
    </row>
    <row r="893" spans="1:10" ht="15" thickBot="1" x14ac:dyDescent="0.35">
      <c r="A893" s="1"/>
      <c r="B893" s="2"/>
      <c r="C893" s="2"/>
      <c r="D893" s="2"/>
      <c r="E893" s="2"/>
      <c r="F893" s="2"/>
      <c r="G893" s="3"/>
      <c r="H893" s="2"/>
      <c r="I893" s="2"/>
      <c r="J893" s="2"/>
    </row>
    <row r="894" spans="1:10" ht="15" thickBot="1" x14ac:dyDescent="0.35">
      <c r="A894" s="1"/>
      <c r="B894" s="2"/>
      <c r="C894" s="2"/>
      <c r="D894" s="2"/>
      <c r="E894" s="2"/>
      <c r="F894" s="2"/>
      <c r="G894" s="3"/>
      <c r="H894" s="2"/>
      <c r="I894" s="2"/>
      <c r="J894" s="2"/>
    </row>
    <row r="895" spans="1:10" ht="15" thickBot="1" x14ac:dyDescent="0.35">
      <c r="A895" s="1"/>
      <c r="B895" s="2"/>
      <c r="C895" s="2"/>
      <c r="D895" s="2"/>
      <c r="E895" s="2"/>
      <c r="F895" s="2"/>
      <c r="G895" s="3"/>
      <c r="H895" s="2"/>
      <c r="I895" s="2"/>
      <c r="J895" s="2"/>
    </row>
    <row r="896" spans="1:10" ht="15" thickBot="1" x14ac:dyDescent="0.35">
      <c r="A896" s="1"/>
      <c r="B896" s="2"/>
      <c r="C896" s="2"/>
      <c r="D896" s="2"/>
      <c r="E896" s="2"/>
      <c r="F896" s="2"/>
      <c r="G896" s="3"/>
      <c r="H896" s="2"/>
      <c r="I896" s="2"/>
      <c r="J896" s="2"/>
    </row>
    <row r="897" spans="1:10" ht="15" thickBot="1" x14ac:dyDescent="0.35">
      <c r="A897" s="1"/>
      <c r="B897" s="2"/>
      <c r="C897" s="2"/>
      <c r="D897" s="2"/>
      <c r="E897" s="2"/>
      <c r="F897" s="2"/>
      <c r="G897" s="3"/>
      <c r="H897" s="2"/>
      <c r="I897" s="2"/>
      <c r="J897" s="2"/>
    </row>
    <row r="898" spans="1:10" ht="15" thickBot="1" x14ac:dyDescent="0.35">
      <c r="A898" s="1"/>
      <c r="B898" s="2"/>
      <c r="C898" s="2"/>
      <c r="D898" s="2"/>
      <c r="E898" s="2"/>
      <c r="F898" s="2"/>
      <c r="G898" s="3"/>
      <c r="H898" s="2"/>
      <c r="I898" s="2"/>
      <c r="J898" s="2"/>
    </row>
    <row r="899" spans="1:10" ht="15" thickBot="1" x14ac:dyDescent="0.35">
      <c r="A899" s="1"/>
      <c r="B899" s="2"/>
      <c r="C899" s="2"/>
      <c r="D899" s="2"/>
      <c r="E899" s="2"/>
      <c r="F899" s="2"/>
      <c r="G899" s="3"/>
      <c r="H899" s="2"/>
      <c r="I899" s="2"/>
      <c r="J899" s="2"/>
    </row>
    <row r="900" spans="1:10" ht="15" thickBot="1" x14ac:dyDescent="0.35">
      <c r="A900" s="1"/>
      <c r="B900" s="2"/>
      <c r="C900" s="2"/>
      <c r="D900" s="2"/>
      <c r="E900" s="2"/>
      <c r="F900" s="2"/>
      <c r="G900" s="3"/>
      <c r="H900" s="2"/>
      <c r="I900" s="2"/>
      <c r="J900" s="2"/>
    </row>
    <row r="901" spans="1:10" ht="15" thickBot="1" x14ac:dyDescent="0.35">
      <c r="A901" s="1"/>
      <c r="B901" s="2"/>
      <c r="C901" s="2"/>
      <c r="D901" s="2"/>
      <c r="E901" s="2"/>
      <c r="F901" s="2"/>
      <c r="G901" s="3"/>
      <c r="H901" s="2"/>
      <c r="I901" s="2"/>
      <c r="J901" s="2"/>
    </row>
    <row r="902" spans="1:10" ht="15" thickBot="1" x14ac:dyDescent="0.35">
      <c r="A902" s="1"/>
      <c r="B902" s="2"/>
      <c r="C902" s="2"/>
      <c r="D902" s="2"/>
      <c r="E902" s="2"/>
      <c r="F902" s="2"/>
      <c r="G902" s="3"/>
      <c r="H902" s="2"/>
      <c r="I902" s="2"/>
      <c r="J902" s="2"/>
    </row>
    <row r="903" spans="1:10" ht="15" thickBot="1" x14ac:dyDescent="0.35">
      <c r="A903" s="1"/>
      <c r="B903" s="2"/>
      <c r="C903" s="2"/>
      <c r="D903" s="2"/>
      <c r="E903" s="2"/>
      <c r="F903" s="2"/>
      <c r="G903" s="3"/>
      <c r="H903" s="2"/>
      <c r="I903" s="2"/>
      <c r="J903" s="2"/>
    </row>
    <row r="904" spans="1:10" ht="15" thickBot="1" x14ac:dyDescent="0.35">
      <c r="A904" s="1"/>
      <c r="B904" s="2"/>
      <c r="C904" s="2"/>
      <c r="D904" s="2"/>
      <c r="E904" s="2"/>
      <c r="F904" s="2"/>
      <c r="G904" s="3"/>
      <c r="H904" s="2"/>
      <c r="I904" s="2"/>
      <c r="J904" s="2"/>
    </row>
    <row r="905" spans="1:10" ht="15" thickBot="1" x14ac:dyDescent="0.35">
      <c r="A905" s="1"/>
      <c r="B905" s="2"/>
      <c r="C905" s="2"/>
      <c r="D905" s="2"/>
      <c r="E905" s="2"/>
      <c r="F905" s="2"/>
      <c r="G905" s="3"/>
      <c r="H905" s="2"/>
      <c r="I905" s="2"/>
      <c r="J905" s="2"/>
    </row>
    <row r="906" spans="1:10" ht="15" thickBot="1" x14ac:dyDescent="0.35">
      <c r="A906" s="1"/>
      <c r="B906" s="2"/>
      <c r="C906" s="2"/>
      <c r="D906" s="2"/>
      <c r="E906" s="2"/>
      <c r="F906" s="2"/>
      <c r="G906" s="3"/>
      <c r="H906" s="2"/>
      <c r="I906" s="2"/>
      <c r="J906" s="2"/>
    </row>
    <row r="907" spans="1:10" ht="15" thickBot="1" x14ac:dyDescent="0.35">
      <c r="A907" s="1"/>
      <c r="B907" s="2"/>
      <c r="C907" s="2"/>
      <c r="D907" s="2"/>
      <c r="E907" s="2"/>
      <c r="F907" s="2"/>
      <c r="G907" s="3"/>
      <c r="H907" s="2"/>
      <c r="I907" s="2"/>
      <c r="J907" s="2"/>
    </row>
    <row r="908" spans="1:10" ht="15" thickBot="1" x14ac:dyDescent="0.35">
      <c r="A908" s="1"/>
      <c r="B908" s="2"/>
      <c r="C908" s="2"/>
      <c r="D908" s="2"/>
      <c r="E908" s="2"/>
      <c r="F908" s="2"/>
      <c r="G908" s="3"/>
      <c r="H908" s="2"/>
      <c r="I908" s="2"/>
      <c r="J908" s="2"/>
    </row>
    <row r="909" spans="1:10" ht="15" thickBot="1" x14ac:dyDescent="0.35">
      <c r="A909" s="1"/>
      <c r="B909" s="2"/>
      <c r="C909" s="2"/>
      <c r="D909" s="2"/>
      <c r="E909" s="2"/>
      <c r="F909" s="2"/>
      <c r="G909" s="3"/>
      <c r="H909" s="2"/>
      <c r="I909" s="2"/>
      <c r="J909" s="2"/>
    </row>
    <row r="910" spans="1:10" ht="15" thickBot="1" x14ac:dyDescent="0.35">
      <c r="A910" s="1"/>
      <c r="B910" s="2"/>
      <c r="C910" s="2"/>
      <c r="D910" s="2"/>
      <c r="E910" s="2"/>
      <c r="F910" s="2"/>
      <c r="G910" s="3"/>
      <c r="H910" s="2"/>
      <c r="I910" s="2"/>
      <c r="J910" s="2"/>
    </row>
    <row r="911" spans="1:10" ht="15" thickBot="1" x14ac:dyDescent="0.35">
      <c r="A911" s="1"/>
      <c r="B911" s="2"/>
      <c r="C911" s="2"/>
      <c r="D911" s="2"/>
      <c r="E911" s="2"/>
      <c r="F911" s="2"/>
      <c r="G911" s="3"/>
      <c r="H911" s="2"/>
      <c r="I911" s="2"/>
      <c r="J911" s="2"/>
    </row>
    <row r="912" spans="1:10" ht="15" thickBot="1" x14ac:dyDescent="0.35">
      <c r="A912" s="1"/>
      <c r="B912" s="2"/>
      <c r="C912" s="2"/>
      <c r="D912" s="2"/>
      <c r="E912" s="2"/>
      <c r="F912" s="2"/>
      <c r="G912" s="3"/>
      <c r="H912" s="2"/>
      <c r="I912" s="2"/>
      <c r="J912" s="2"/>
    </row>
    <row r="913" spans="1:10" ht="15" thickBot="1" x14ac:dyDescent="0.35">
      <c r="A913" s="1"/>
      <c r="B913" s="2"/>
      <c r="C913" s="2"/>
      <c r="D913" s="2"/>
      <c r="E913" s="2"/>
      <c r="F913" s="2"/>
      <c r="G913" s="3"/>
      <c r="H913" s="2"/>
      <c r="I913" s="2"/>
      <c r="J913" s="2"/>
    </row>
    <row r="914" spans="1:10" ht="15" thickBot="1" x14ac:dyDescent="0.35">
      <c r="A914" s="1"/>
      <c r="B914" s="2"/>
      <c r="C914" s="2"/>
      <c r="D914" s="2"/>
      <c r="E914" s="2"/>
      <c r="F914" s="2"/>
      <c r="G914" s="3"/>
      <c r="H914" s="2"/>
      <c r="I914" s="2"/>
      <c r="J914" s="2"/>
    </row>
    <row r="915" spans="1:10" ht="15" thickBot="1" x14ac:dyDescent="0.35">
      <c r="A915" s="1"/>
      <c r="B915" s="2"/>
      <c r="C915" s="2"/>
      <c r="D915" s="2"/>
      <c r="E915" s="2"/>
      <c r="F915" s="2"/>
      <c r="G915" s="3"/>
      <c r="H915" s="2"/>
      <c r="I915" s="2"/>
      <c r="J915" s="2"/>
    </row>
    <row r="916" spans="1:10" ht="15" thickBot="1" x14ac:dyDescent="0.35">
      <c r="A916" s="1"/>
      <c r="B916" s="2"/>
      <c r="C916" s="2"/>
      <c r="D916" s="2"/>
      <c r="E916" s="2"/>
      <c r="F916" s="2"/>
      <c r="G916" s="3"/>
      <c r="H916" s="2"/>
      <c r="I916" s="2"/>
      <c r="J916" s="2"/>
    </row>
    <row r="917" spans="1:10" ht="15" thickBot="1" x14ac:dyDescent="0.35">
      <c r="A917" s="1"/>
      <c r="B917" s="2"/>
      <c r="C917" s="2"/>
      <c r="D917" s="2"/>
      <c r="E917" s="2"/>
      <c r="F917" s="2"/>
      <c r="G917" s="3"/>
      <c r="H917" s="2"/>
      <c r="I917" s="2"/>
      <c r="J917" s="2"/>
    </row>
    <row r="918" spans="1:10" ht="15" thickBot="1" x14ac:dyDescent="0.35">
      <c r="A918" s="1"/>
      <c r="B918" s="2"/>
      <c r="C918" s="2"/>
      <c r="D918" s="2"/>
      <c r="E918" s="2"/>
      <c r="F918" s="2"/>
      <c r="G918" s="3"/>
      <c r="H918" s="2"/>
      <c r="I918" s="2"/>
      <c r="J918" s="2"/>
    </row>
    <row r="919" spans="1:10" ht="15" thickBot="1" x14ac:dyDescent="0.35">
      <c r="A919" s="1"/>
      <c r="B919" s="2"/>
      <c r="C919" s="2"/>
      <c r="D919" s="2"/>
      <c r="E919" s="2"/>
      <c r="F919" s="2"/>
      <c r="G919" s="3"/>
      <c r="H919" s="2"/>
      <c r="I919" s="2"/>
      <c r="J919" s="2"/>
    </row>
    <row r="920" spans="1:10" ht="15" thickBot="1" x14ac:dyDescent="0.35">
      <c r="A920" s="1"/>
      <c r="B920" s="2"/>
      <c r="C920" s="2"/>
      <c r="D920" s="2"/>
      <c r="E920" s="2"/>
      <c r="F920" s="2"/>
      <c r="G920" s="3"/>
      <c r="H920" s="2"/>
      <c r="I920" s="2"/>
      <c r="J920" s="2"/>
    </row>
    <row r="921" spans="1:10" ht="15" thickBot="1" x14ac:dyDescent="0.35">
      <c r="A921" s="1"/>
      <c r="B921" s="2"/>
      <c r="C921" s="2"/>
      <c r="D921" s="2"/>
      <c r="E921" s="2"/>
      <c r="F921" s="2"/>
      <c r="G921" s="3"/>
      <c r="H921" s="2"/>
      <c r="I921" s="2"/>
      <c r="J921" s="2"/>
    </row>
    <row r="922" spans="1:10" ht="15" thickBot="1" x14ac:dyDescent="0.35">
      <c r="A922" s="1"/>
      <c r="B922" s="2"/>
      <c r="C922" s="2"/>
      <c r="D922" s="2"/>
      <c r="E922" s="2"/>
      <c r="F922" s="2"/>
      <c r="G922" s="3"/>
      <c r="H922" s="2"/>
      <c r="I922" s="2"/>
      <c r="J922" s="2"/>
    </row>
    <row r="923" spans="1:10" ht="15" thickBot="1" x14ac:dyDescent="0.35">
      <c r="A923" s="1"/>
      <c r="B923" s="2"/>
      <c r="C923" s="2"/>
      <c r="D923" s="2"/>
      <c r="E923" s="2"/>
      <c r="F923" s="2"/>
      <c r="G923" s="3"/>
      <c r="H923" s="2"/>
      <c r="I923" s="2"/>
      <c r="J923" s="2"/>
    </row>
    <row r="924" spans="1:10" ht="15" thickBot="1" x14ac:dyDescent="0.35">
      <c r="A924" s="1"/>
      <c r="B924" s="2"/>
      <c r="C924" s="2"/>
      <c r="D924" s="2"/>
      <c r="E924" s="2"/>
      <c r="F924" s="2"/>
      <c r="G924" s="3"/>
      <c r="H924" s="2"/>
      <c r="I924" s="2"/>
      <c r="J924" s="2"/>
    </row>
    <row r="925" spans="1:10" ht="15" thickBot="1" x14ac:dyDescent="0.35">
      <c r="A925" s="1"/>
      <c r="B925" s="2"/>
      <c r="C925" s="2"/>
      <c r="D925" s="2"/>
      <c r="E925" s="2"/>
      <c r="F925" s="2"/>
      <c r="G925" s="3"/>
      <c r="H925" s="2"/>
      <c r="I925" s="2"/>
      <c r="J925" s="2"/>
    </row>
    <row r="926" spans="1:10" ht="15" thickBot="1" x14ac:dyDescent="0.35">
      <c r="A926" s="1"/>
      <c r="B926" s="2"/>
      <c r="C926" s="2"/>
      <c r="D926" s="2"/>
      <c r="E926" s="2"/>
      <c r="F926" s="2"/>
      <c r="G926" s="3"/>
      <c r="H926" s="2"/>
      <c r="I926" s="2"/>
      <c r="J926" s="2"/>
    </row>
    <row r="927" spans="1:10" ht="15" thickBot="1" x14ac:dyDescent="0.35">
      <c r="A927" s="1"/>
      <c r="B927" s="2"/>
      <c r="C927" s="2"/>
      <c r="D927" s="2"/>
      <c r="E927" s="2"/>
      <c r="F927" s="2"/>
      <c r="G927" s="3"/>
      <c r="H927" s="2"/>
      <c r="I927" s="2"/>
      <c r="J927" s="2"/>
    </row>
    <row r="928" spans="1:10" ht="15" thickBot="1" x14ac:dyDescent="0.35">
      <c r="A928" s="1"/>
      <c r="B928" s="2"/>
      <c r="C928" s="2"/>
      <c r="D928" s="2"/>
      <c r="E928" s="2"/>
      <c r="F928" s="2"/>
      <c r="G928" s="3"/>
      <c r="H928" s="2"/>
      <c r="I928" s="2"/>
      <c r="J928" s="2"/>
    </row>
    <row r="929" spans="1:10" ht="15" thickBot="1" x14ac:dyDescent="0.35">
      <c r="A929" s="1"/>
      <c r="B929" s="2"/>
      <c r="C929" s="2"/>
      <c r="D929" s="2"/>
      <c r="E929" s="2"/>
      <c r="F929" s="2"/>
      <c r="G929" s="3"/>
      <c r="H929" s="2"/>
      <c r="I929" s="2"/>
      <c r="J929" s="2"/>
    </row>
    <row r="930" spans="1:10" ht="15" thickBot="1" x14ac:dyDescent="0.35">
      <c r="A930" s="1"/>
      <c r="B930" s="2"/>
      <c r="C930" s="2"/>
      <c r="D930" s="2"/>
      <c r="E930" s="2"/>
      <c r="F930" s="2"/>
      <c r="G930" s="3"/>
      <c r="H930" s="2"/>
      <c r="I930" s="2"/>
      <c r="J930" s="2"/>
    </row>
    <row r="931" spans="1:10" ht="15" thickBot="1" x14ac:dyDescent="0.35">
      <c r="A931" s="1"/>
      <c r="B931" s="2"/>
      <c r="C931" s="2"/>
      <c r="D931" s="2"/>
      <c r="E931" s="2"/>
      <c r="F931" s="2"/>
      <c r="G931" s="3"/>
      <c r="H931" s="2"/>
      <c r="I931" s="2"/>
      <c r="J931" s="2"/>
    </row>
    <row r="932" spans="1:10" ht="15" thickBot="1" x14ac:dyDescent="0.35">
      <c r="A932" s="1"/>
      <c r="B932" s="2"/>
      <c r="C932" s="2"/>
      <c r="D932" s="2"/>
      <c r="E932" s="2"/>
      <c r="F932" s="2"/>
      <c r="G932" s="3"/>
      <c r="H932" s="2"/>
      <c r="I932" s="2"/>
      <c r="J932" s="2"/>
    </row>
    <row r="933" spans="1:10" ht="15" thickBot="1" x14ac:dyDescent="0.35">
      <c r="A933" s="1"/>
      <c r="B933" s="2"/>
      <c r="C933" s="2"/>
      <c r="D933" s="2"/>
      <c r="E933" s="2"/>
      <c r="F933" s="2"/>
      <c r="G933" s="3"/>
      <c r="H933" s="2"/>
      <c r="I933" s="2"/>
      <c r="J933" s="2"/>
    </row>
    <row r="934" spans="1:10" ht="15" thickBot="1" x14ac:dyDescent="0.35">
      <c r="A934" s="1"/>
      <c r="B934" s="2"/>
      <c r="C934" s="2"/>
      <c r="D934" s="2"/>
      <c r="E934" s="2"/>
      <c r="F934" s="2"/>
      <c r="G934" s="3"/>
      <c r="H934" s="2"/>
      <c r="I934" s="2"/>
      <c r="J934" s="2"/>
    </row>
    <row r="935" spans="1:10" ht="15" thickBot="1" x14ac:dyDescent="0.35">
      <c r="A935" s="1"/>
      <c r="B935" s="2"/>
      <c r="C935" s="2"/>
      <c r="D935" s="2"/>
      <c r="E935" s="2"/>
      <c r="F935" s="2"/>
      <c r="G935" s="3"/>
      <c r="H935" s="2"/>
      <c r="I935" s="2"/>
      <c r="J935" s="2"/>
    </row>
    <row r="936" spans="1:10" ht="15" thickBot="1" x14ac:dyDescent="0.35">
      <c r="A936" s="1"/>
      <c r="B936" s="2"/>
      <c r="C936" s="2"/>
      <c r="D936" s="2"/>
      <c r="E936" s="2"/>
      <c r="F936" s="2"/>
      <c r="G936" s="3"/>
      <c r="H936" s="2"/>
      <c r="I936" s="2"/>
      <c r="J936" s="2"/>
    </row>
    <row r="937" spans="1:10" ht="15" thickBot="1" x14ac:dyDescent="0.35">
      <c r="A937" s="1"/>
      <c r="B937" s="2"/>
      <c r="C937" s="2"/>
      <c r="D937" s="2"/>
      <c r="E937" s="2"/>
      <c r="F937" s="2"/>
      <c r="G937" s="3"/>
      <c r="H937" s="2"/>
      <c r="I937" s="2"/>
      <c r="J937" s="2"/>
    </row>
    <row r="938" spans="1:10" ht="15" thickBot="1" x14ac:dyDescent="0.35">
      <c r="A938" s="1"/>
      <c r="B938" s="2"/>
      <c r="C938" s="2"/>
      <c r="D938" s="2"/>
      <c r="E938" s="2"/>
      <c r="F938" s="2"/>
      <c r="G938" s="3"/>
      <c r="H938" s="2"/>
      <c r="I938" s="2"/>
      <c r="J938" s="2"/>
    </row>
    <row r="939" spans="1:10" ht="15" thickBot="1" x14ac:dyDescent="0.35">
      <c r="A939" s="1"/>
      <c r="B939" s="2"/>
      <c r="C939" s="2"/>
      <c r="D939" s="2"/>
      <c r="E939" s="2"/>
      <c r="F939" s="2"/>
      <c r="G939" s="3"/>
      <c r="H939" s="2"/>
      <c r="I939" s="2"/>
      <c r="J939" s="2"/>
    </row>
    <row r="940" spans="1:10" ht="15" thickBot="1" x14ac:dyDescent="0.35">
      <c r="A940" s="1"/>
      <c r="B940" s="2"/>
      <c r="C940" s="2"/>
      <c r="D940" s="2"/>
      <c r="E940" s="2"/>
      <c r="F940" s="2"/>
      <c r="G940" s="3"/>
      <c r="H940" s="2"/>
      <c r="I940" s="2"/>
      <c r="J940" s="2"/>
    </row>
    <row r="941" spans="1:10" ht="15" thickBot="1" x14ac:dyDescent="0.35">
      <c r="A941" s="1"/>
      <c r="B941" s="2"/>
      <c r="C941" s="2"/>
      <c r="D941" s="2"/>
      <c r="E941" s="2"/>
      <c r="F941" s="2"/>
      <c r="G941" s="3"/>
      <c r="H941" s="2"/>
      <c r="I941" s="2"/>
      <c r="J941" s="2"/>
    </row>
    <row r="942" spans="1:10" ht="15" thickBot="1" x14ac:dyDescent="0.35">
      <c r="A942" s="1"/>
      <c r="B942" s="2"/>
      <c r="C942" s="2"/>
      <c r="D942" s="2"/>
      <c r="E942" s="2"/>
      <c r="F942" s="2"/>
      <c r="G942" s="3"/>
      <c r="H942" s="2"/>
      <c r="I942" s="2"/>
      <c r="J942" s="2"/>
    </row>
    <row r="943" spans="1:10" ht="15" thickBot="1" x14ac:dyDescent="0.35">
      <c r="A943" s="1"/>
      <c r="B943" s="2"/>
      <c r="C943" s="2"/>
      <c r="D943" s="2"/>
      <c r="E943" s="2"/>
      <c r="F943" s="2"/>
      <c r="G943" s="3"/>
      <c r="H943" s="2"/>
      <c r="I943" s="2"/>
      <c r="J943" s="2"/>
    </row>
    <row r="944" spans="1:10" ht="15" thickBot="1" x14ac:dyDescent="0.35">
      <c r="A944" s="1"/>
      <c r="B944" s="2"/>
      <c r="C944" s="2"/>
      <c r="D944" s="2"/>
      <c r="E944" s="2"/>
      <c r="F944" s="2"/>
      <c r="G944" s="3"/>
      <c r="H944" s="2"/>
      <c r="I944" s="2"/>
      <c r="J944" s="2"/>
    </row>
    <row r="945" spans="1:10" ht="15" thickBot="1" x14ac:dyDescent="0.35">
      <c r="A945" s="1"/>
      <c r="B945" s="2"/>
      <c r="C945" s="2"/>
      <c r="D945" s="2"/>
      <c r="E945" s="2"/>
      <c r="F945" s="2"/>
      <c r="G945" s="3"/>
      <c r="H945" s="2"/>
      <c r="I945" s="2"/>
      <c r="J945" s="2"/>
    </row>
    <row r="946" spans="1:10" ht="15" thickBot="1" x14ac:dyDescent="0.35">
      <c r="A946" s="1"/>
      <c r="B946" s="2"/>
      <c r="C946" s="2"/>
      <c r="D946" s="2"/>
      <c r="E946" s="2"/>
      <c r="F946" s="2"/>
      <c r="G946" s="3"/>
      <c r="H946" s="2"/>
      <c r="I946" s="2"/>
      <c r="J946" s="2"/>
    </row>
    <row r="947" spans="1:10" ht="15" thickBot="1" x14ac:dyDescent="0.35">
      <c r="A947" s="1"/>
      <c r="B947" s="2"/>
      <c r="C947" s="2"/>
      <c r="D947" s="2"/>
      <c r="E947" s="2"/>
      <c r="F947" s="2"/>
      <c r="G947" s="3"/>
      <c r="H947" s="2"/>
      <c r="I947" s="2"/>
      <c r="J947" s="2"/>
    </row>
    <row r="948" spans="1:10" ht="15" thickBot="1" x14ac:dyDescent="0.35">
      <c r="A948" s="1"/>
      <c r="B948" s="2"/>
      <c r="C948" s="2"/>
      <c r="D948" s="2"/>
      <c r="E948" s="2"/>
      <c r="F948" s="2"/>
      <c r="G948" s="3"/>
      <c r="H948" s="2"/>
      <c r="I948" s="2"/>
      <c r="J948" s="2"/>
    </row>
    <row r="949" spans="1:10" ht="15" thickBot="1" x14ac:dyDescent="0.35">
      <c r="A949" s="1"/>
      <c r="B949" s="2"/>
      <c r="C949" s="2"/>
      <c r="D949" s="2"/>
      <c r="E949" s="2"/>
      <c r="F949" s="2"/>
      <c r="G949" s="3"/>
      <c r="H949" s="2"/>
      <c r="I949" s="2"/>
      <c r="J949" s="2"/>
    </row>
    <row r="950" spans="1:10" ht="15" thickBot="1" x14ac:dyDescent="0.35">
      <c r="A950" s="1"/>
      <c r="B950" s="2"/>
      <c r="C950" s="2"/>
      <c r="D950" s="2"/>
      <c r="E950" s="2"/>
      <c r="F950" s="2"/>
      <c r="G950" s="3"/>
      <c r="H950" s="2"/>
      <c r="I950" s="2"/>
      <c r="J950" s="2"/>
    </row>
    <row r="951" spans="1:10" ht="15" thickBot="1" x14ac:dyDescent="0.35">
      <c r="A951" s="1"/>
      <c r="B951" s="2"/>
      <c r="C951" s="2"/>
      <c r="D951" s="2"/>
      <c r="E951" s="2"/>
      <c r="F951" s="2"/>
      <c r="G951" s="3"/>
      <c r="H951" s="2"/>
      <c r="I951" s="2"/>
      <c r="J951" s="2"/>
    </row>
    <row r="952" spans="1:10" ht="15" thickBot="1" x14ac:dyDescent="0.35">
      <c r="A952" s="1"/>
      <c r="B952" s="2"/>
      <c r="C952" s="2"/>
      <c r="D952" s="2"/>
      <c r="E952" s="2"/>
      <c r="F952" s="2"/>
      <c r="G952" s="3"/>
      <c r="H952" s="2"/>
      <c r="I952" s="2"/>
      <c r="J952" s="2"/>
    </row>
    <row r="953" spans="1:10" ht="15" thickBot="1" x14ac:dyDescent="0.35">
      <c r="A953" s="1"/>
      <c r="B953" s="2"/>
      <c r="C953" s="2"/>
      <c r="D953" s="2"/>
      <c r="E953" s="2"/>
      <c r="F953" s="2"/>
      <c r="G953" s="3"/>
      <c r="H953" s="2"/>
      <c r="I953" s="2"/>
      <c r="J953" s="2"/>
    </row>
    <row r="954" spans="1:10" ht="15" thickBot="1" x14ac:dyDescent="0.35">
      <c r="A954" s="1"/>
      <c r="B954" s="2"/>
      <c r="C954" s="2"/>
      <c r="D954" s="2"/>
      <c r="E954" s="2"/>
      <c r="F954" s="2"/>
      <c r="G954" s="3"/>
      <c r="H954" s="2"/>
      <c r="I954" s="2"/>
      <c r="J954" s="2"/>
    </row>
    <row r="955" spans="1:10" ht="15" thickBot="1" x14ac:dyDescent="0.35">
      <c r="A955" s="1"/>
      <c r="B955" s="2"/>
      <c r="C955" s="2"/>
      <c r="D955" s="2"/>
      <c r="E955" s="2"/>
      <c r="F955" s="2"/>
      <c r="G955" s="3"/>
      <c r="H955" s="2"/>
      <c r="I955" s="2"/>
      <c r="J955" s="2"/>
    </row>
    <row r="956" spans="1:10" ht="15" thickBot="1" x14ac:dyDescent="0.35">
      <c r="A956" s="1"/>
      <c r="B956" s="2"/>
      <c r="C956" s="2"/>
      <c r="D956" s="2"/>
      <c r="E956" s="2"/>
      <c r="F956" s="2"/>
      <c r="G956" s="3"/>
      <c r="H956" s="2"/>
      <c r="I956" s="2"/>
      <c r="J956" s="2"/>
    </row>
    <row r="957" spans="1:10" ht="15" thickBot="1" x14ac:dyDescent="0.35">
      <c r="A957" s="1"/>
      <c r="B957" s="2"/>
      <c r="C957" s="2"/>
      <c r="D957" s="2"/>
      <c r="E957" s="2"/>
      <c r="F957" s="2"/>
      <c r="G957" s="3"/>
      <c r="H957" s="2"/>
      <c r="I957" s="2"/>
      <c r="J957" s="2"/>
    </row>
    <row r="958" spans="1:10" ht="15" thickBot="1" x14ac:dyDescent="0.35">
      <c r="A958" s="1"/>
      <c r="B958" s="2"/>
      <c r="C958" s="2"/>
      <c r="D958" s="2"/>
      <c r="E958" s="2"/>
      <c r="F958" s="2"/>
      <c r="G958" s="3"/>
      <c r="H958" s="2"/>
      <c r="I958" s="2"/>
      <c r="J958" s="2"/>
    </row>
    <row r="959" spans="1:10" ht="15" thickBot="1" x14ac:dyDescent="0.35">
      <c r="A959" s="1"/>
      <c r="B959" s="2"/>
      <c r="C959" s="2"/>
      <c r="D959" s="2"/>
      <c r="E959" s="2"/>
      <c r="F959" s="2"/>
      <c r="G959" s="3"/>
      <c r="H959" s="2"/>
      <c r="I959" s="2"/>
      <c r="J959" s="2"/>
    </row>
    <row r="960" spans="1:10" ht="15" thickBot="1" x14ac:dyDescent="0.35">
      <c r="A960" s="1"/>
      <c r="B960" s="2"/>
      <c r="C960" s="2"/>
      <c r="D960" s="2"/>
      <c r="E960" s="2"/>
      <c r="F960" s="2"/>
      <c r="G960" s="3"/>
      <c r="H960" s="2"/>
      <c r="I960" s="2"/>
      <c r="J960" s="2"/>
    </row>
    <row r="961" spans="1:10" ht="15" thickBot="1" x14ac:dyDescent="0.35">
      <c r="A961" s="1"/>
      <c r="B961" s="2"/>
      <c r="C961" s="2"/>
      <c r="D961" s="2"/>
      <c r="E961" s="2"/>
      <c r="F961" s="2"/>
      <c r="G961" s="3"/>
      <c r="H961" s="2"/>
      <c r="I961" s="2"/>
      <c r="J961" s="2"/>
    </row>
    <row r="962" spans="1:10" ht="15" thickBot="1" x14ac:dyDescent="0.35">
      <c r="A962" s="1"/>
      <c r="B962" s="2"/>
      <c r="C962" s="2"/>
      <c r="D962" s="2"/>
      <c r="E962" s="2"/>
      <c r="F962" s="2"/>
      <c r="G962" s="3"/>
      <c r="H962" s="2"/>
      <c r="I962" s="2"/>
      <c r="J962" s="2"/>
    </row>
    <row r="963" spans="1:10" ht="15" thickBot="1" x14ac:dyDescent="0.35">
      <c r="A963" s="1"/>
      <c r="B963" s="2"/>
      <c r="C963" s="2"/>
      <c r="D963" s="2"/>
      <c r="E963" s="2"/>
      <c r="F963" s="2"/>
      <c r="G963" s="3"/>
      <c r="H963" s="2"/>
      <c r="I963" s="2"/>
      <c r="J963" s="2"/>
    </row>
    <row r="964" spans="1:10" ht="15" thickBot="1" x14ac:dyDescent="0.35">
      <c r="A964" s="1"/>
      <c r="B964" s="2"/>
      <c r="C964" s="2"/>
      <c r="D964" s="2"/>
      <c r="E964" s="2"/>
      <c r="F964" s="2"/>
      <c r="G964" s="3"/>
      <c r="H964" s="2"/>
      <c r="I964" s="2"/>
      <c r="J964" s="2"/>
    </row>
    <row r="965" spans="1:10" ht="15" thickBot="1" x14ac:dyDescent="0.35">
      <c r="A965" s="1"/>
      <c r="B965" s="2"/>
      <c r="C965" s="2"/>
      <c r="D965" s="2"/>
      <c r="E965" s="2"/>
      <c r="F965" s="2"/>
      <c r="G965" s="3"/>
      <c r="H965" s="2"/>
      <c r="I965" s="2"/>
      <c r="J965" s="2"/>
    </row>
    <row r="966" spans="1:10" ht="15" thickBot="1" x14ac:dyDescent="0.35">
      <c r="A966" s="1"/>
      <c r="B966" s="2"/>
      <c r="C966" s="2"/>
      <c r="D966" s="2"/>
      <c r="E966" s="2"/>
      <c r="F966" s="2"/>
      <c r="G966" s="3"/>
      <c r="H966" s="2"/>
      <c r="I966" s="2"/>
      <c r="J966" s="2"/>
    </row>
    <row r="967" spans="1:10" ht="15" thickBot="1" x14ac:dyDescent="0.35">
      <c r="A967" s="1"/>
      <c r="B967" s="2"/>
      <c r="C967" s="2"/>
      <c r="D967" s="2"/>
      <c r="E967" s="2"/>
      <c r="F967" s="2"/>
      <c r="G967" s="3"/>
      <c r="H967" s="2"/>
      <c r="I967" s="2"/>
      <c r="J967" s="2"/>
    </row>
    <row r="968" spans="1:10" ht="15" thickBot="1" x14ac:dyDescent="0.35">
      <c r="A968" s="1"/>
      <c r="B968" s="2"/>
      <c r="C968" s="2"/>
      <c r="D968" s="2"/>
      <c r="E968" s="2"/>
      <c r="F968" s="2"/>
      <c r="G968" s="3"/>
      <c r="H968" s="2"/>
      <c r="I968" s="2"/>
      <c r="J968" s="2"/>
    </row>
    <row r="969" spans="1:10" ht="15" thickBot="1" x14ac:dyDescent="0.35">
      <c r="A969" s="1"/>
      <c r="B969" s="2"/>
      <c r="C969" s="2"/>
      <c r="D969" s="2"/>
      <c r="E969" s="2"/>
      <c r="F969" s="2"/>
      <c r="G969" s="3"/>
      <c r="H969" s="2"/>
      <c r="I969" s="2"/>
      <c r="J969" s="2"/>
    </row>
    <row r="970" spans="1:10" ht="15" thickBot="1" x14ac:dyDescent="0.35">
      <c r="A970" s="1"/>
      <c r="B970" s="2"/>
      <c r="C970" s="2"/>
      <c r="D970" s="2"/>
      <c r="E970" s="2"/>
      <c r="F970" s="2"/>
      <c r="G970" s="3"/>
      <c r="H970" s="2"/>
      <c r="I970" s="2"/>
      <c r="J970" s="2"/>
    </row>
    <row r="971" spans="1:10" ht="15" thickBot="1" x14ac:dyDescent="0.35">
      <c r="A971" s="1"/>
      <c r="B971" s="2"/>
      <c r="C971" s="2"/>
      <c r="D971" s="2"/>
      <c r="E971" s="2"/>
      <c r="F971" s="2"/>
      <c r="G971" s="3"/>
      <c r="H971" s="2"/>
      <c r="I971" s="2"/>
      <c r="J971" s="2"/>
    </row>
    <row r="972" spans="1:10" ht="15" thickBot="1" x14ac:dyDescent="0.35">
      <c r="A972" s="1"/>
      <c r="B972" s="2"/>
      <c r="C972" s="2"/>
      <c r="D972" s="2"/>
      <c r="E972" s="2"/>
      <c r="F972" s="2"/>
      <c r="G972" s="3"/>
      <c r="H972" s="2"/>
      <c r="I972" s="2"/>
      <c r="J972" s="2"/>
    </row>
    <row r="973" spans="1:10" ht="15" thickBot="1" x14ac:dyDescent="0.35">
      <c r="A973" s="1"/>
      <c r="B973" s="2"/>
      <c r="C973" s="2"/>
      <c r="D973" s="2"/>
      <c r="E973" s="2"/>
      <c r="F973" s="2"/>
      <c r="G973" s="3"/>
      <c r="H973" s="2"/>
      <c r="I973" s="2"/>
      <c r="J973" s="2"/>
    </row>
    <row r="974" spans="1:10" ht="15" thickBot="1" x14ac:dyDescent="0.35">
      <c r="A974" s="1"/>
      <c r="B974" s="2"/>
      <c r="C974" s="2"/>
      <c r="D974" s="2"/>
      <c r="E974" s="2"/>
      <c r="F974" s="2"/>
      <c r="G974" s="3"/>
      <c r="H974" s="2"/>
      <c r="I974" s="2"/>
      <c r="J974" s="2"/>
    </row>
    <row r="975" spans="1:10" ht="15" thickBot="1" x14ac:dyDescent="0.35">
      <c r="A975" s="1"/>
      <c r="B975" s="2"/>
      <c r="C975" s="2"/>
      <c r="D975" s="2"/>
      <c r="E975" s="2"/>
      <c r="F975" s="2"/>
      <c r="G975" s="3"/>
      <c r="H975" s="2"/>
      <c r="I975" s="2"/>
      <c r="J975" s="2"/>
    </row>
    <row r="976" spans="1:10" ht="15" thickBot="1" x14ac:dyDescent="0.35">
      <c r="A976" s="1"/>
      <c r="B976" s="2"/>
      <c r="C976" s="2"/>
      <c r="D976" s="2"/>
      <c r="E976" s="2"/>
      <c r="F976" s="2"/>
      <c r="G976" s="3"/>
      <c r="H976" s="2"/>
      <c r="I976" s="2"/>
      <c r="J976" s="2"/>
    </row>
    <row r="977" spans="1:10" ht="15" thickBot="1" x14ac:dyDescent="0.35">
      <c r="A977" s="1"/>
      <c r="B977" s="2"/>
      <c r="C977" s="2"/>
      <c r="D977" s="2"/>
      <c r="E977" s="2"/>
      <c r="F977" s="2"/>
      <c r="G977" s="3"/>
      <c r="H977" s="2"/>
      <c r="I977" s="2"/>
      <c r="J977" s="2"/>
    </row>
  </sheetData>
  <mergeCells count="3">
    <mergeCell ref="A2:A14"/>
    <mergeCell ref="A15:A22"/>
    <mergeCell ref="A23:A3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Q34"/>
  <sheetViews>
    <sheetView workbookViewId="0">
      <selection activeCell="P7" sqref="P7"/>
    </sheetView>
  </sheetViews>
  <sheetFormatPr defaultColWidth="8.88671875" defaultRowHeight="14.4" x14ac:dyDescent="0.3"/>
  <cols>
    <col min="1" max="1" width="12.6640625" style="77" bestFit="1" customWidth="1"/>
    <col min="2" max="2" width="3.6640625" style="77" bestFit="1" customWidth="1"/>
    <col min="3" max="3" width="20.33203125" style="77" bestFit="1" customWidth="1"/>
    <col min="4" max="4" width="19.88671875" style="77" bestFit="1" customWidth="1"/>
    <col min="5" max="5" width="18.88671875" style="77" bestFit="1" customWidth="1"/>
    <col min="6" max="6" width="13.33203125" style="77" bestFit="1" customWidth="1"/>
    <col min="7" max="7" width="19.88671875" style="77" bestFit="1" customWidth="1"/>
    <col min="8" max="8" width="22.44140625" style="77" bestFit="1" customWidth="1"/>
    <col min="9" max="9" width="17.21875" style="77" customWidth="1"/>
    <col min="10" max="10" width="19.88671875" style="77" bestFit="1" customWidth="1"/>
    <col min="11" max="11" width="21.109375" style="77" customWidth="1"/>
    <col min="12" max="12" width="15.88671875" style="77" customWidth="1"/>
    <col min="13" max="13" width="21.77734375" style="77" customWidth="1"/>
    <col min="14" max="14" width="21.44140625" style="77" bestFit="1" customWidth="1"/>
    <col min="15" max="15" width="13.33203125" style="77" bestFit="1" customWidth="1"/>
    <col min="16" max="16" width="17.21875" style="77" customWidth="1"/>
    <col min="17" max="17" width="15.33203125" style="77" customWidth="1"/>
    <col min="18" max="18" width="4.5546875" style="77" bestFit="1" customWidth="1"/>
    <col min="19" max="19" width="4.6640625" style="77" bestFit="1" customWidth="1"/>
    <col min="20" max="20" width="10.6640625" style="77" bestFit="1" customWidth="1"/>
    <col min="21" max="21" width="13.6640625" style="77" bestFit="1" customWidth="1"/>
    <col min="22" max="22" width="13.44140625" style="77" bestFit="1" customWidth="1"/>
    <col min="23" max="23" width="12.109375" style="77" bestFit="1" customWidth="1"/>
    <col min="24" max="24" width="15.88671875" style="77" bestFit="1" customWidth="1"/>
    <col min="25" max="25" width="10.6640625" style="77" bestFit="1" customWidth="1"/>
    <col min="26" max="26" width="13.88671875" style="77" bestFit="1" customWidth="1"/>
    <col min="27" max="16384" width="8.88671875" style="77"/>
  </cols>
  <sheetData>
    <row r="4" spans="1:16" ht="15" thickBot="1" x14ac:dyDescent="0.35"/>
    <row r="5" spans="1:16" ht="15.6" thickTop="1" thickBot="1" x14ac:dyDescent="0.35">
      <c r="A5" s="73"/>
      <c r="B5" s="74"/>
      <c r="C5" s="76" t="s">
        <v>97</v>
      </c>
      <c r="D5" s="238" t="s">
        <v>9</v>
      </c>
      <c r="E5" s="239"/>
      <c r="F5" s="239"/>
      <c r="G5" s="239"/>
      <c r="H5" s="239"/>
      <c r="I5" s="239"/>
      <c r="J5" s="239"/>
      <c r="K5" s="239"/>
      <c r="L5" s="239"/>
      <c r="M5" s="239"/>
      <c r="N5" s="239"/>
      <c r="O5" s="239"/>
      <c r="P5" s="240"/>
    </row>
    <row r="6" spans="1:16" ht="15" thickBot="1" x14ac:dyDescent="0.35">
      <c r="A6" s="74"/>
      <c r="B6" s="70" t="s">
        <v>0</v>
      </c>
      <c r="C6" s="124" t="s">
        <v>2</v>
      </c>
      <c r="D6" s="125" t="s">
        <v>116</v>
      </c>
      <c r="E6" s="125" t="s">
        <v>13</v>
      </c>
      <c r="F6" s="125" t="s">
        <v>15</v>
      </c>
      <c r="G6" s="125" t="s">
        <v>17</v>
      </c>
      <c r="H6" s="125" t="s">
        <v>19</v>
      </c>
      <c r="I6" s="125" t="s">
        <v>21</v>
      </c>
      <c r="J6" s="125" t="s">
        <v>23</v>
      </c>
      <c r="K6" s="125" t="s">
        <v>25</v>
      </c>
      <c r="L6" s="125" t="s">
        <v>27</v>
      </c>
      <c r="M6" s="125" t="s">
        <v>29</v>
      </c>
      <c r="N6" s="125" t="s">
        <v>31</v>
      </c>
      <c r="O6" s="125" t="s">
        <v>33</v>
      </c>
      <c r="P6" s="126" t="s">
        <v>179</v>
      </c>
    </row>
    <row r="7" spans="1:16" ht="15.6" thickTop="1" thickBot="1" x14ac:dyDescent="0.35">
      <c r="A7" s="209" t="s">
        <v>36</v>
      </c>
      <c r="B7" s="209">
        <v>1</v>
      </c>
      <c r="C7" s="120" t="s">
        <v>88</v>
      </c>
      <c r="D7" s="71">
        <v>15</v>
      </c>
      <c r="E7" s="71">
        <v>0</v>
      </c>
      <c r="F7" s="71">
        <v>0</v>
      </c>
      <c r="G7" s="71">
        <v>10</v>
      </c>
      <c r="H7" s="71">
        <v>0</v>
      </c>
      <c r="I7" s="71">
        <v>0</v>
      </c>
      <c r="J7" s="71">
        <v>0</v>
      </c>
      <c r="K7" s="71">
        <v>30</v>
      </c>
      <c r="L7" s="71">
        <v>0</v>
      </c>
      <c r="M7" s="71">
        <v>0</v>
      </c>
      <c r="N7" s="71">
        <v>0</v>
      </c>
      <c r="O7" s="71">
        <v>0</v>
      </c>
      <c r="P7" s="122">
        <v>0</v>
      </c>
    </row>
    <row r="8" spans="1:16" ht="15" thickBot="1" x14ac:dyDescent="0.35">
      <c r="A8" s="210"/>
      <c r="B8" s="210"/>
      <c r="C8" s="120" t="s">
        <v>89</v>
      </c>
      <c r="D8" s="71">
        <v>30</v>
      </c>
      <c r="E8" s="71">
        <v>0</v>
      </c>
      <c r="F8" s="71">
        <v>0</v>
      </c>
      <c r="G8" s="71">
        <v>0</v>
      </c>
      <c r="H8" s="71">
        <v>150</v>
      </c>
      <c r="I8" s="71">
        <v>0</v>
      </c>
      <c r="J8" s="71">
        <v>0</v>
      </c>
      <c r="K8" s="71">
        <v>0</v>
      </c>
      <c r="L8" s="71">
        <v>0</v>
      </c>
      <c r="M8" s="71">
        <v>0</v>
      </c>
      <c r="N8" s="71">
        <v>50</v>
      </c>
      <c r="O8" s="71">
        <v>0</v>
      </c>
      <c r="P8" s="122">
        <v>0</v>
      </c>
    </row>
    <row r="9" spans="1:16" ht="15" thickBot="1" x14ac:dyDescent="0.35">
      <c r="A9" s="210"/>
      <c r="B9" s="210"/>
      <c r="C9" s="120" t="s">
        <v>90</v>
      </c>
      <c r="D9" s="71">
        <v>0</v>
      </c>
      <c r="E9" s="71">
        <v>0</v>
      </c>
      <c r="F9" s="71">
        <v>18</v>
      </c>
      <c r="G9" s="71">
        <v>0</v>
      </c>
      <c r="H9" s="71">
        <v>0</v>
      </c>
      <c r="I9" s="71">
        <v>12</v>
      </c>
      <c r="J9" s="71">
        <v>0</v>
      </c>
      <c r="K9" s="71">
        <v>0</v>
      </c>
      <c r="L9" s="71">
        <v>0</v>
      </c>
      <c r="M9" s="71">
        <v>0</v>
      </c>
      <c r="N9" s="71">
        <v>0</v>
      </c>
      <c r="O9" s="71">
        <v>0</v>
      </c>
      <c r="P9" s="122">
        <v>0</v>
      </c>
    </row>
    <row r="10" spans="1:16" ht="15" thickBot="1" x14ac:dyDescent="0.35">
      <c r="A10" s="210"/>
      <c r="B10" s="211"/>
      <c r="C10" s="121" t="s">
        <v>91</v>
      </c>
      <c r="D10" s="71">
        <v>70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300</v>
      </c>
      <c r="L10" s="71">
        <v>0</v>
      </c>
      <c r="M10" s="71">
        <v>0</v>
      </c>
      <c r="N10" s="71">
        <v>0</v>
      </c>
      <c r="O10" s="71">
        <v>0</v>
      </c>
      <c r="P10" s="122">
        <v>0</v>
      </c>
    </row>
    <row r="11" spans="1:16" ht="15.6" thickTop="1" thickBot="1" x14ac:dyDescent="0.35">
      <c r="A11" s="210"/>
      <c r="B11" s="209">
        <v>2</v>
      </c>
      <c r="C11" s="120" t="s">
        <v>92</v>
      </c>
      <c r="D11" s="71">
        <v>0</v>
      </c>
      <c r="E11" s="71">
        <v>0</v>
      </c>
      <c r="F11" s="71">
        <v>0</v>
      </c>
      <c r="G11" s="71">
        <v>20</v>
      </c>
      <c r="H11" s="71">
        <v>40</v>
      </c>
      <c r="I11" s="71">
        <v>0</v>
      </c>
      <c r="J11" s="71">
        <v>0</v>
      </c>
      <c r="K11" s="71">
        <v>90</v>
      </c>
      <c r="L11" s="71">
        <v>0</v>
      </c>
      <c r="M11" s="71">
        <v>0</v>
      </c>
      <c r="N11" s="71">
        <v>0</v>
      </c>
      <c r="O11" s="71">
        <v>0</v>
      </c>
      <c r="P11" s="122">
        <v>0</v>
      </c>
    </row>
    <row r="12" spans="1:16" ht="15" thickBot="1" x14ac:dyDescent="0.35">
      <c r="A12" s="210"/>
      <c r="B12" s="210"/>
      <c r="C12" s="120" t="s">
        <v>93</v>
      </c>
      <c r="D12" s="71">
        <v>20</v>
      </c>
      <c r="E12" s="71">
        <v>0</v>
      </c>
      <c r="F12" s="71">
        <v>0</v>
      </c>
      <c r="G12" s="71">
        <v>15</v>
      </c>
      <c r="H12" s="71">
        <v>0</v>
      </c>
      <c r="I12" s="71">
        <v>0</v>
      </c>
      <c r="J12" s="71">
        <v>0</v>
      </c>
      <c r="K12" s="71">
        <v>35</v>
      </c>
      <c r="L12" s="71">
        <v>0</v>
      </c>
      <c r="M12" s="71">
        <v>0</v>
      </c>
      <c r="N12" s="71">
        <v>0</v>
      </c>
      <c r="O12" s="71">
        <v>0</v>
      </c>
      <c r="P12" s="122">
        <v>0</v>
      </c>
    </row>
    <row r="13" spans="1:16" ht="15" thickBot="1" x14ac:dyDescent="0.35">
      <c r="A13" s="210"/>
      <c r="B13" s="210"/>
      <c r="C13" s="120" t="s">
        <v>94</v>
      </c>
      <c r="D13" s="71">
        <v>50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120</v>
      </c>
      <c r="L13" s="71">
        <v>0</v>
      </c>
      <c r="M13" s="71">
        <v>0</v>
      </c>
      <c r="N13" s="71">
        <v>0</v>
      </c>
      <c r="O13" s="71">
        <v>0</v>
      </c>
      <c r="P13" s="122">
        <v>0</v>
      </c>
    </row>
    <row r="14" spans="1:16" ht="15" thickBot="1" x14ac:dyDescent="0.35">
      <c r="A14" s="211"/>
      <c r="B14" s="211"/>
      <c r="C14" s="121" t="s">
        <v>95</v>
      </c>
      <c r="D14" s="95">
        <v>90</v>
      </c>
      <c r="E14" s="87">
        <v>0</v>
      </c>
      <c r="F14" s="87">
        <v>0</v>
      </c>
      <c r="G14" s="87">
        <v>0</v>
      </c>
      <c r="H14" s="87">
        <v>450</v>
      </c>
      <c r="I14" s="87">
        <v>0</v>
      </c>
      <c r="J14" s="87">
        <v>0</v>
      </c>
      <c r="K14" s="87">
        <v>0</v>
      </c>
      <c r="L14" s="87">
        <v>0</v>
      </c>
      <c r="M14" s="87">
        <v>0</v>
      </c>
      <c r="N14" s="87">
        <v>160</v>
      </c>
      <c r="O14" s="87">
        <v>0</v>
      </c>
      <c r="P14" s="123">
        <v>0</v>
      </c>
    </row>
    <row r="15" spans="1:16" ht="15" thickTop="1" x14ac:dyDescent="0.3"/>
    <row r="16" spans="1:16" ht="15" thickBot="1" x14ac:dyDescent="0.35"/>
    <row r="17" spans="1:17" ht="15.6" thickTop="1" thickBot="1" x14ac:dyDescent="0.35">
      <c r="A17" s="73"/>
      <c r="B17" s="75"/>
      <c r="C17" s="76" t="s">
        <v>97</v>
      </c>
      <c r="D17" s="225" t="s">
        <v>9</v>
      </c>
      <c r="E17" s="226"/>
      <c r="F17" s="226"/>
      <c r="G17" s="226"/>
      <c r="H17" s="226"/>
      <c r="I17" s="227"/>
      <c r="J17" s="235" t="s">
        <v>36</v>
      </c>
      <c r="K17" s="236"/>
      <c r="L17" s="236"/>
      <c r="M17" s="236"/>
      <c r="N17" s="236"/>
      <c r="O17" s="236"/>
      <c r="P17" s="236"/>
      <c r="Q17" s="237"/>
    </row>
    <row r="18" spans="1:17" ht="15.6" thickTop="1" thickBot="1" x14ac:dyDescent="0.35">
      <c r="A18" s="73"/>
      <c r="B18" s="74"/>
      <c r="C18" s="141" t="s">
        <v>0</v>
      </c>
      <c r="D18" s="228"/>
      <c r="E18" s="229"/>
      <c r="F18" s="229"/>
      <c r="G18" s="229"/>
      <c r="H18" s="229"/>
      <c r="I18" s="230"/>
      <c r="J18" s="231">
        <v>1</v>
      </c>
      <c r="K18" s="232"/>
      <c r="L18" s="232"/>
      <c r="M18" s="233"/>
      <c r="N18" s="231">
        <v>2</v>
      </c>
      <c r="O18" s="232"/>
      <c r="P18" s="232"/>
      <c r="Q18" s="234"/>
    </row>
    <row r="19" spans="1:17" ht="15.6" thickTop="1" thickBot="1" x14ac:dyDescent="0.35">
      <c r="A19" s="74"/>
      <c r="B19" s="139" t="s">
        <v>0</v>
      </c>
      <c r="C19" s="70" t="s">
        <v>2</v>
      </c>
      <c r="D19" s="78" t="s">
        <v>13</v>
      </c>
      <c r="E19" s="78" t="s">
        <v>23</v>
      </c>
      <c r="F19" s="78" t="s">
        <v>27</v>
      </c>
      <c r="G19" s="78" t="s">
        <v>29</v>
      </c>
      <c r="H19" s="78" t="s">
        <v>33</v>
      </c>
      <c r="I19" s="94" t="s">
        <v>35</v>
      </c>
      <c r="J19" s="93" t="s">
        <v>88</v>
      </c>
      <c r="K19" s="79" t="s">
        <v>89</v>
      </c>
      <c r="L19" s="79" t="s">
        <v>90</v>
      </c>
      <c r="M19" s="85" t="s">
        <v>91</v>
      </c>
      <c r="N19" s="93" t="s">
        <v>92</v>
      </c>
      <c r="O19" s="79" t="s">
        <v>93</v>
      </c>
      <c r="P19" s="79" t="s">
        <v>94</v>
      </c>
      <c r="Q19" s="140" t="s">
        <v>95</v>
      </c>
    </row>
    <row r="20" spans="1:17" ht="15.6" thickTop="1" thickBot="1" x14ac:dyDescent="0.35">
      <c r="A20" s="212" t="s">
        <v>39</v>
      </c>
      <c r="B20" s="221">
        <v>1</v>
      </c>
      <c r="C20" s="80" t="s">
        <v>40</v>
      </c>
      <c r="D20" s="71">
        <v>1</v>
      </c>
      <c r="E20" s="71">
        <v>1</v>
      </c>
      <c r="F20" s="71">
        <v>0</v>
      </c>
      <c r="G20" s="71">
        <v>0</v>
      </c>
      <c r="H20" s="71">
        <v>0</v>
      </c>
      <c r="I20" s="86">
        <v>0</v>
      </c>
      <c r="J20" s="91">
        <v>1</v>
      </c>
      <c r="K20" s="71">
        <v>0</v>
      </c>
      <c r="L20" s="71">
        <v>0</v>
      </c>
      <c r="M20" s="86">
        <v>0</v>
      </c>
      <c r="N20" s="91">
        <v>0</v>
      </c>
      <c r="O20" s="71">
        <v>0</v>
      </c>
      <c r="P20" s="71">
        <v>0</v>
      </c>
      <c r="Q20" s="122">
        <v>0</v>
      </c>
    </row>
    <row r="21" spans="1:17" ht="15" thickBot="1" x14ac:dyDescent="0.35">
      <c r="A21" s="213"/>
      <c r="B21" s="222"/>
      <c r="C21" s="80" t="s">
        <v>42</v>
      </c>
      <c r="D21" s="71">
        <v>0</v>
      </c>
      <c r="E21" s="71">
        <v>0</v>
      </c>
      <c r="F21" s="71">
        <v>0</v>
      </c>
      <c r="G21" s="71">
        <v>0</v>
      </c>
      <c r="H21" s="71">
        <v>8</v>
      </c>
      <c r="I21" s="86">
        <v>0</v>
      </c>
      <c r="J21" s="91">
        <v>0</v>
      </c>
      <c r="K21" s="71">
        <v>0</v>
      </c>
      <c r="L21" s="71">
        <v>0</v>
      </c>
      <c r="M21" s="86">
        <v>0</v>
      </c>
      <c r="N21" s="91">
        <v>0</v>
      </c>
      <c r="O21" s="71">
        <v>0</v>
      </c>
      <c r="P21" s="71">
        <v>0</v>
      </c>
      <c r="Q21" s="122">
        <v>0</v>
      </c>
    </row>
    <row r="22" spans="1:17" ht="15" thickBot="1" x14ac:dyDescent="0.35">
      <c r="A22" s="213"/>
      <c r="B22" s="223"/>
      <c r="C22" s="81" t="s">
        <v>44</v>
      </c>
      <c r="D22" s="71">
        <v>0</v>
      </c>
      <c r="E22" s="71">
        <v>0</v>
      </c>
      <c r="F22" s="71">
        <v>1</v>
      </c>
      <c r="G22" s="71">
        <v>0</v>
      </c>
      <c r="H22" s="71">
        <v>0</v>
      </c>
      <c r="I22" s="86">
        <v>1</v>
      </c>
      <c r="J22" s="91">
        <v>0</v>
      </c>
      <c r="K22" s="71">
        <v>1</v>
      </c>
      <c r="L22" s="71">
        <v>1</v>
      </c>
      <c r="M22" s="86">
        <v>1</v>
      </c>
      <c r="N22" s="91">
        <v>0</v>
      </c>
      <c r="O22" s="71">
        <v>0</v>
      </c>
      <c r="P22" s="71">
        <v>0</v>
      </c>
      <c r="Q22" s="122">
        <v>0</v>
      </c>
    </row>
    <row r="23" spans="1:17" ht="14.4" customHeight="1" thickTop="1" thickBot="1" x14ac:dyDescent="0.35">
      <c r="A23" s="213"/>
      <c r="B23" s="221">
        <v>2</v>
      </c>
      <c r="C23" s="80" t="s">
        <v>51</v>
      </c>
      <c r="D23" s="71">
        <v>2</v>
      </c>
      <c r="E23" s="71">
        <v>2</v>
      </c>
      <c r="F23" s="71">
        <v>0</v>
      </c>
      <c r="G23" s="71">
        <v>0</v>
      </c>
      <c r="H23" s="71">
        <v>0</v>
      </c>
      <c r="I23" s="86">
        <v>0</v>
      </c>
      <c r="J23" s="91">
        <v>0</v>
      </c>
      <c r="K23" s="71">
        <v>0</v>
      </c>
      <c r="L23" s="71">
        <v>0</v>
      </c>
      <c r="M23" s="86">
        <v>0</v>
      </c>
      <c r="N23" s="91">
        <v>0</v>
      </c>
      <c r="O23" s="71">
        <v>1</v>
      </c>
      <c r="P23" s="71">
        <v>0</v>
      </c>
      <c r="Q23" s="122">
        <v>0</v>
      </c>
    </row>
    <row r="24" spans="1:17" ht="15" thickBot="1" x14ac:dyDescent="0.35">
      <c r="A24" s="213"/>
      <c r="B24" s="222"/>
      <c r="C24" s="80" t="s">
        <v>52</v>
      </c>
      <c r="D24" s="71">
        <v>0</v>
      </c>
      <c r="E24" s="71">
        <v>0</v>
      </c>
      <c r="F24" s="71">
        <v>0</v>
      </c>
      <c r="G24" s="71">
        <v>0</v>
      </c>
      <c r="H24" s="71">
        <v>10</v>
      </c>
      <c r="I24" s="86">
        <v>0</v>
      </c>
      <c r="J24" s="91">
        <v>0</v>
      </c>
      <c r="K24" s="71">
        <v>0</v>
      </c>
      <c r="L24" s="71">
        <v>0</v>
      </c>
      <c r="M24" s="86">
        <v>0</v>
      </c>
      <c r="N24" s="91">
        <v>1</v>
      </c>
      <c r="O24" s="71">
        <v>0</v>
      </c>
      <c r="P24" s="71">
        <v>0</v>
      </c>
      <c r="Q24" s="122">
        <v>0</v>
      </c>
    </row>
    <row r="25" spans="1:17" ht="15" thickBot="1" x14ac:dyDescent="0.35">
      <c r="A25" s="214"/>
      <c r="B25" s="224"/>
      <c r="C25" s="142" t="s">
        <v>53</v>
      </c>
      <c r="D25" s="143">
        <v>0</v>
      </c>
      <c r="E25" s="143">
        <v>0</v>
      </c>
      <c r="F25" s="143">
        <v>2</v>
      </c>
      <c r="G25" s="143">
        <v>0</v>
      </c>
      <c r="H25" s="143">
        <v>0</v>
      </c>
      <c r="I25" s="144">
        <v>1</v>
      </c>
      <c r="J25" s="145">
        <v>0</v>
      </c>
      <c r="K25" s="143">
        <v>0</v>
      </c>
      <c r="L25" s="143">
        <v>1</v>
      </c>
      <c r="M25" s="144">
        <v>0</v>
      </c>
      <c r="N25" s="145">
        <v>0</v>
      </c>
      <c r="O25" s="143">
        <v>0</v>
      </c>
      <c r="P25" s="143">
        <v>1</v>
      </c>
      <c r="Q25" s="146">
        <v>1</v>
      </c>
    </row>
    <row r="26" spans="1:17" ht="15" thickTop="1" x14ac:dyDescent="0.3"/>
    <row r="27" spans="1:17" ht="15" thickBot="1" x14ac:dyDescent="0.35"/>
    <row r="28" spans="1:17" ht="15.6" thickTop="1" thickBot="1" x14ac:dyDescent="0.35">
      <c r="A28" s="73"/>
      <c r="B28" s="75"/>
      <c r="C28" s="76" t="s">
        <v>97</v>
      </c>
      <c r="D28" s="217" t="s">
        <v>39</v>
      </c>
      <c r="E28" s="218"/>
      <c r="F28" s="218"/>
      <c r="G28" s="218"/>
      <c r="H28" s="218"/>
      <c r="I28" s="220"/>
    </row>
    <row r="29" spans="1:17" ht="15.6" thickTop="1" thickBot="1" x14ac:dyDescent="0.35">
      <c r="A29" s="73"/>
      <c r="B29" s="74"/>
      <c r="C29" s="70" t="s">
        <v>0</v>
      </c>
      <c r="D29" s="217">
        <v>1</v>
      </c>
      <c r="E29" s="218"/>
      <c r="F29" s="219"/>
      <c r="G29" s="217">
        <v>2</v>
      </c>
      <c r="H29" s="218"/>
      <c r="I29" s="220"/>
    </row>
    <row r="30" spans="1:17" ht="15.6" thickTop="1" thickBot="1" x14ac:dyDescent="0.35">
      <c r="A30" s="74"/>
      <c r="B30" s="70" t="s">
        <v>0</v>
      </c>
      <c r="C30" s="70" t="s">
        <v>2</v>
      </c>
      <c r="D30" s="82" t="s">
        <v>40</v>
      </c>
      <c r="E30" s="82" t="s">
        <v>42</v>
      </c>
      <c r="F30" s="92" t="s">
        <v>44</v>
      </c>
      <c r="G30" s="90" t="s">
        <v>51</v>
      </c>
      <c r="H30" s="82" t="s">
        <v>52</v>
      </c>
      <c r="I30" s="88" t="s">
        <v>53</v>
      </c>
    </row>
    <row r="31" spans="1:17" ht="15.6" thickTop="1" thickBot="1" x14ac:dyDescent="0.35">
      <c r="A31" s="207" t="s">
        <v>46</v>
      </c>
      <c r="B31" s="72">
        <v>1</v>
      </c>
      <c r="C31" s="83" t="s">
        <v>47</v>
      </c>
      <c r="D31" s="71">
        <v>1</v>
      </c>
      <c r="E31" s="71">
        <v>1</v>
      </c>
      <c r="F31" s="86">
        <v>1</v>
      </c>
      <c r="G31" s="91">
        <v>0</v>
      </c>
      <c r="H31" s="71">
        <v>0</v>
      </c>
      <c r="I31" s="86">
        <v>0</v>
      </c>
    </row>
    <row r="32" spans="1:17" ht="15.6" thickTop="1" thickBot="1" x14ac:dyDescent="0.35">
      <c r="A32" s="215"/>
      <c r="B32" s="207">
        <v>2</v>
      </c>
      <c r="C32" s="84" t="s">
        <v>54</v>
      </c>
      <c r="D32" s="71">
        <v>1</v>
      </c>
      <c r="E32" s="71">
        <v>0</v>
      </c>
      <c r="F32" s="86">
        <v>0</v>
      </c>
      <c r="G32" s="91">
        <v>0</v>
      </c>
      <c r="H32" s="71">
        <v>1</v>
      </c>
      <c r="I32" s="86">
        <v>1</v>
      </c>
    </row>
    <row r="33" spans="1:9" ht="15" thickBot="1" x14ac:dyDescent="0.35">
      <c r="A33" s="216"/>
      <c r="B33" s="208"/>
      <c r="C33" s="83" t="s">
        <v>55</v>
      </c>
      <c r="D33" s="71">
        <v>0</v>
      </c>
      <c r="E33" s="71">
        <v>0</v>
      </c>
      <c r="F33" s="86">
        <v>0</v>
      </c>
      <c r="G33" s="91">
        <v>1</v>
      </c>
      <c r="H33" s="71">
        <v>1</v>
      </c>
      <c r="I33" s="86">
        <v>1</v>
      </c>
    </row>
    <row r="34" spans="1:9" ht="15" thickTop="1" x14ac:dyDescent="0.3"/>
  </sheetData>
  <mergeCells count="16">
    <mergeCell ref="J18:M18"/>
    <mergeCell ref="N18:Q18"/>
    <mergeCell ref="J17:Q17"/>
    <mergeCell ref="D5:P5"/>
    <mergeCell ref="B7:B10"/>
    <mergeCell ref="B11:B14"/>
    <mergeCell ref="G29:I29"/>
    <mergeCell ref="D28:I28"/>
    <mergeCell ref="B20:B22"/>
    <mergeCell ref="B23:B25"/>
    <mergeCell ref="D17:I18"/>
    <mergeCell ref="B32:B33"/>
    <mergeCell ref="A7:A14"/>
    <mergeCell ref="A20:A25"/>
    <mergeCell ref="A31:A33"/>
    <mergeCell ref="D29:F29"/>
  </mergeCells>
  <pageMargins left="0.7" right="0.7" top="0.75" bottom="0.75" header="0.3" footer="0.3"/>
  <legacy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9"/>
  <sheetViews>
    <sheetView workbookViewId="0">
      <selection activeCell="C8" sqref="C8"/>
    </sheetView>
  </sheetViews>
  <sheetFormatPr defaultRowHeight="14.4" x14ac:dyDescent="0.3"/>
  <cols>
    <col min="2" max="2" width="15.33203125" customWidth="1"/>
    <col min="3" max="3" width="11.33203125" customWidth="1"/>
    <col min="4" max="4" width="13.88671875" customWidth="1"/>
  </cols>
  <sheetData>
    <row r="1" spans="1:5" ht="15" thickBot="1" x14ac:dyDescent="0.35">
      <c r="A1" s="241" t="s">
        <v>56</v>
      </c>
      <c r="B1" s="105" t="s">
        <v>62</v>
      </c>
      <c r="C1" s="106" t="s">
        <v>5</v>
      </c>
      <c r="D1" s="107" t="s">
        <v>6</v>
      </c>
    </row>
    <row r="2" spans="1:5" ht="15" thickBot="1" x14ac:dyDescent="0.35">
      <c r="A2" s="242"/>
      <c r="B2" s="8" t="s">
        <v>57</v>
      </c>
      <c r="C2" s="41">
        <v>70000</v>
      </c>
      <c r="D2" s="103">
        <v>100</v>
      </c>
    </row>
    <row r="3" spans="1:5" ht="15" thickBot="1" x14ac:dyDescent="0.35">
      <c r="A3" s="242"/>
      <c r="B3" s="7" t="s">
        <v>58</v>
      </c>
      <c r="C3" s="42">
        <v>300000</v>
      </c>
      <c r="D3" s="104">
        <v>500</v>
      </c>
    </row>
    <row r="4" spans="1:5" ht="15" thickBot="1" x14ac:dyDescent="0.35">
      <c r="A4" s="243"/>
      <c r="B4" s="108" t="s">
        <v>59</v>
      </c>
      <c r="C4" s="109">
        <v>70000</v>
      </c>
      <c r="D4" s="110">
        <v>0</v>
      </c>
    </row>
    <row r="5" spans="1:5" ht="15" thickBot="1" x14ac:dyDescent="0.35">
      <c r="A5" s="4"/>
      <c r="B5" s="4"/>
      <c r="C5" s="4"/>
      <c r="D5" s="4"/>
    </row>
    <row r="6" spans="1:5" ht="15.75" customHeight="1" thickBot="1" x14ac:dyDescent="0.35">
      <c r="A6" s="241" t="s">
        <v>60</v>
      </c>
      <c r="B6" s="112" t="s">
        <v>61</v>
      </c>
      <c r="C6" s="113" t="s">
        <v>58</v>
      </c>
      <c r="D6" s="114" t="s">
        <v>57</v>
      </c>
      <c r="E6" s="115" t="s">
        <v>59</v>
      </c>
    </row>
    <row r="7" spans="1:5" ht="15" thickBot="1" x14ac:dyDescent="0.35">
      <c r="A7" s="242"/>
      <c r="B7" s="49">
        <v>1</v>
      </c>
      <c r="C7" s="9">
        <v>1</v>
      </c>
      <c r="D7" s="5">
        <v>3</v>
      </c>
      <c r="E7" s="111">
        <v>0</v>
      </c>
    </row>
    <row r="8" spans="1:5" ht="15" thickBot="1" x14ac:dyDescent="0.35">
      <c r="A8" s="242"/>
      <c r="B8" s="50">
        <v>2</v>
      </c>
      <c r="C8" s="10">
        <v>2</v>
      </c>
      <c r="D8" s="6">
        <v>6</v>
      </c>
      <c r="E8" s="111">
        <v>0</v>
      </c>
    </row>
    <row r="9" spans="1:5" ht="15" thickBot="1" x14ac:dyDescent="0.35">
      <c r="A9" s="243"/>
      <c r="B9" s="116">
        <v>3</v>
      </c>
      <c r="C9" s="117">
        <v>3</v>
      </c>
      <c r="D9" s="118">
        <v>9</v>
      </c>
      <c r="E9" s="110">
        <v>0</v>
      </c>
    </row>
  </sheetData>
  <mergeCells count="2">
    <mergeCell ref="A6:A9"/>
    <mergeCell ref="A1:A4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workbookViewId="0">
      <selection activeCell="C15" sqref="C15"/>
    </sheetView>
  </sheetViews>
  <sheetFormatPr defaultRowHeight="14.4" x14ac:dyDescent="0.3"/>
  <cols>
    <col min="1" max="1" width="36.5546875" bestFit="1" customWidth="1"/>
    <col min="2" max="2" width="39.33203125" bestFit="1" customWidth="1"/>
    <col min="3" max="3" width="11.6640625" style="40" bestFit="1" customWidth="1"/>
  </cols>
  <sheetData>
    <row r="1" spans="1:3" ht="15" thickBot="1" x14ac:dyDescent="0.35">
      <c r="C1" s="27" t="s">
        <v>82</v>
      </c>
    </row>
    <row r="2" spans="1:3" ht="15" thickBot="1" x14ac:dyDescent="0.35">
      <c r="B2" s="23" t="s">
        <v>67</v>
      </c>
      <c r="C2" s="25">
        <v>278000000</v>
      </c>
    </row>
    <row r="3" spans="1:3" ht="15" thickBot="1" x14ac:dyDescent="0.35">
      <c r="A3" s="244" t="s">
        <v>71</v>
      </c>
      <c r="B3" s="11" t="s">
        <v>75</v>
      </c>
      <c r="C3" s="26">
        <v>175000000</v>
      </c>
    </row>
    <row r="4" spans="1:3" ht="15" thickBot="1" x14ac:dyDescent="0.35">
      <c r="A4" s="245"/>
      <c r="B4" s="12" t="s">
        <v>76</v>
      </c>
      <c r="C4" s="28">
        <v>2</v>
      </c>
    </row>
    <row r="5" spans="1:3" ht="15" thickBot="1" x14ac:dyDescent="0.35">
      <c r="A5" s="245"/>
      <c r="B5" s="12" t="s">
        <v>63</v>
      </c>
      <c r="C5" s="28">
        <v>130000000</v>
      </c>
    </row>
    <row r="6" spans="1:3" ht="15" thickBot="1" x14ac:dyDescent="0.35">
      <c r="A6" s="246"/>
      <c r="B6" s="13" t="s">
        <v>77</v>
      </c>
      <c r="C6" s="29">
        <v>3</v>
      </c>
    </row>
    <row r="7" spans="1:3" ht="15" thickBot="1" x14ac:dyDescent="0.35">
      <c r="A7" s="247" t="s">
        <v>72</v>
      </c>
      <c r="B7" s="14" t="s">
        <v>78</v>
      </c>
      <c r="C7" s="30">
        <v>185000000</v>
      </c>
    </row>
    <row r="8" spans="1:3" ht="15" thickBot="1" x14ac:dyDescent="0.35">
      <c r="A8" s="248"/>
      <c r="B8" s="15" t="s">
        <v>64</v>
      </c>
      <c r="C8" s="31">
        <v>3</v>
      </c>
    </row>
    <row r="9" spans="1:3" ht="15" thickBot="1" x14ac:dyDescent="0.35">
      <c r="A9" s="248"/>
      <c r="B9" s="15" t="s">
        <v>63</v>
      </c>
      <c r="C9" s="31">
        <v>160000000</v>
      </c>
    </row>
    <row r="10" spans="1:3" ht="15" thickBot="1" x14ac:dyDescent="0.35">
      <c r="A10" s="249"/>
      <c r="B10" s="16" t="s">
        <v>79</v>
      </c>
      <c r="C10" s="32">
        <v>4</v>
      </c>
    </row>
    <row r="11" spans="1:3" ht="15" thickBot="1" x14ac:dyDescent="0.35">
      <c r="A11" s="250" t="s">
        <v>73</v>
      </c>
      <c r="B11" s="17" t="s">
        <v>68</v>
      </c>
      <c r="C11" s="33">
        <v>105000000</v>
      </c>
    </row>
    <row r="12" spans="1:3" ht="15" thickBot="1" x14ac:dyDescent="0.35">
      <c r="A12" s="251"/>
      <c r="B12" s="18" t="s">
        <v>69</v>
      </c>
      <c r="C12" s="34">
        <v>1</v>
      </c>
    </row>
    <row r="13" spans="1:3" ht="15" thickBot="1" x14ac:dyDescent="0.35">
      <c r="A13" s="251"/>
      <c r="B13" s="18" t="s">
        <v>63</v>
      </c>
      <c r="C13" s="34">
        <v>55000000</v>
      </c>
    </row>
    <row r="14" spans="1:3" ht="15" thickBot="1" x14ac:dyDescent="0.35">
      <c r="A14" s="252"/>
      <c r="B14" s="19" t="s">
        <v>70</v>
      </c>
      <c r="C14" s="35">
        <v>2</v>
      </c>
    </row>
    <row r="15" spans="1:3" x14ac:dyDescent="0.3">
      <c r="A15" s="253" t="s">
        <v>74</v>
      </c>
      <c r="B15" s="20" t="s">
        <v>80</v>
      </c>
      <c r="C15" s="36">
        <v>20000000</v>
      </c>
    </row>
    <row r="16" spans="1:3" x14ac:dyDescent="0.3">
      <c r="A16" s="254"/>
      <c r="B16" s="21" t="s">
        <v>66</v>
      </c>
      <c r="C16" s="37">
        <v>645000000</v>
      </c>
    </row>
    <row r="17" spans="1:3" ht="15" thickBot="1" x14ac:dyDescent="0.35">
      <c r="A17" s="255"/>
      <c r="B17" s="22" t="s">
        <v>81</v>
      </c>
      <c r="C17" s="38">
        <v>80000000</v>
      </c>
    </row>
    <row r="18" spans="1:3" ht="15" thickBot="1" x14ac:dyDescent="0.35">
      <c r="B18" s="24" t="s">
        <v>65</v>
      </c>
      <c r="C18" s="39">
        <v>170000000</v>
      </c>
    </row>
  </sheetData>
  <mergeCells count="4">
    <mergeCell ref="A3:A6"/>
    <mergeCell ref="A7:A10"/>
    <mergeCell ref="A11:A14"/>
    <mergeCell ref="A15:A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16"/>
  <sheetViews>
    <sheetView workbookViewId="0">
      <selection activeCell="E16" sqref="E16"/>
    </sheetView>
  </sheetViews>
  <sheetFormatPr defaultRowHeight="14.4" x14ac:dyDescent="0.3"/>
  <cols>
    <col min="1" max="1" width="20.109375" bestFit="1" customWidth="1"/>
    <col min="2" max="2" width="21" bestFit="1" customWidth="1"/>
    <col min="5" max="5" width="14.5546875" bestFit="1" customWidth="1"/>
    <col min="6" max="6" width="27.5546875" bestFit="1" customWidth="1"/>
    <col min="7" max="7" width="40.33203125" bestFit="1" customWidth="1"/>
    <col min="8" max="8" width="38" bestFit="1" customWidth="1"/>
  </cols>
  <sheetData>
    <row r="2" spans="1:8" ht="15" thickBot="1" x14ac:dyDescent="0.35"/>
    <row r="3" spans="1:8" ht="15" thickBot="1" x14ac:dyDescent="0.35">
      <c r="B3" s="89" t="s">
        <v>83</v>
      </c>
      <c r="C3" s="48">
        <v>8000</v>
      </c>
      <c r="E3" s="45" t="s">
        <v>84</v>
      </c>
      <c r="F3" s="46" t="s">
        <v>85</v>
      </c>
      <c r="G3" s="47" t="s">
        <v>98</v>
      </c>
      <c r="H3" s="47" t="s">
        <v>86</v>
      </c>
    </row>
    <row r="4" spans="1:8" x14ac:dyDescent="0.3">
      <c r="E4" s="43" t="s">
        <v>10</v>
      </c>
      <c r="F4" s="43">
        <v>3750</v>
      </c>
      <c r="G4" s="51">
        <v>9.6</v>
      </c>
      <c r="H4" s="51">
        <v>52</v>
      </c>
    </row>
    <row r="5" spans="1:8" x14ac:dyDescent="0.3">
      <c r="E5" s="43" t="s">
        <v>13</v>
      </c>
      <c r="F5" s="43">
        <v>150</v>
      </c>
      <c r="G5" s="52">
        <v>8</v>
      </c>
      <c r="H5" s="52">
        <v>100</v>
      </c>
    </row>
    <row r="6" spans="1:8" x14ac:dyDescent="0.3">
      <c r="E6" s="43" t="s">
        <v>15</v>
      </c>
      <c r="F6" s="43">
        <v>1500</v>
      </c>
      <c r="G6" s="52">
        <v>37.799999999999997</v>
      </c>
      <c r="H6" s="52">
        <v>200</v>
      </c>
    </row>
    <row r="7" spans="1:8" x14ac:dyDescent="0.3">
      <c r="E7" s="43" t="s">
        <v>17</v>
      </c>
      <c r="F7" s="43">
        <v>2143</v>
      </c>
      <c r="G7" s="52">
        <v>7</v>
      </c>
      <c r="H7" s="52">
        <v>263</v>
      </c>
    </row>
    <row r="8" spans="1:8" x14ac:dyDescent="0.3">
      <c r="E8" s="43" t="s">
        <v>19</v>
      </c>
      <c r="F8" s="43">
        <v>15000</v>
      </c>
      <c r="G8" s="52">
        <v>12</v>
      </c>
      <c r="H8" s="52">
        <v>180</v>
      </c>
    </row>
    <row r="9" spans="1:8" x14ac:dyDescent="0.3">
      <c r="A9" s="99">
        <f>15000*10.5</f>
        <v>157500</v>
      </c>
      <c r="E9" s="43" t="s">
        <v>21</v>
      </c>
      <c r="F9" s="43">
        <v>7500</v>
      </c>
      <c r="G9" s="52">
        <v>5.04</v>
      </c>
      <c r="H9" s="52">
        <v>150</v>
      </c>
    </row>
    <row r="10" spans="1:8" x14ac:dyDescent="0.3">
      <c r="E10" s="43" t="s">
        <v>23</v>
      </c>
      <c r="F10" s="43">
        <v>300</v>
      </c>
      <c r="G10" s="52">
        <v>4</v>
      </c>
      <c r="H10" s="52">
        <v>400</v>
      </c>
    </row>
    <row r="11" spans="1:8" x14ac:dyDescent="0.3">
      <c r="A11" s="99">
        <f>15000*12</f>
        <v>180000</v>
      </c>
      <c r="E11" s="43" t="s">
        <v>25</v>
      </c>
      <c r="F11" s="43">
        <v>15000</v>
      </c>
      <c r="G11" s="52">
        <v>24</v>
      </c>
      <c r="H11" s="52">
        <v>180</v>
      </c>
    </row>
    <row r="12" spans="1:8" x14ac:dyDescent="0.3">
      <c r="E12" s="43" t="s">
        <v>27</v>
      </c>
      <c r="F12" s="43">
        <v>375</v>
      </c>
      <c r="G12" s="52">
        <v>2.8</v>
      </c>
      <c r="H12" s="52">
        <v>8</v>
      </c>
    </row>
    <row r="13" spans="1:8" x14ac:dyDescent="0.3">
      <c r="A13" s="136">
        <f>4000000/A11</f>
        <v>22.222222222222221</v>
      </c>
      <c r="E13" s="43" t="s">
        <v>29</v>
      </c>
      <c r="F13" s="43">
        <v>300</v>
      </c>
      <c r="G13" s="52">
        <v>36</v>
      </c>
      <c r="H13" s="52">
        <v>500</v>
      </c>
    </row>
    <row r="14" spans="1:8" x14ac:dyDescent="0.3">
      <c r="E14" s="43" t="s">
        <v>31</v>
      </c>
      <c r="F14" s="43">
        <v>15000</v>
      </c>
      <c r="G14" s="52">
        <v>10.5</v>
      </c>
      <c r="H14" s="52">
        <v>165</v>
      </c>
    </row>
    <row r="15" spans="1:8" x14ac:dyDescent="0.3">
      <c r="A15" s="136">
        <f>A13*8</f>
        <v>177.77777777777777</v>
      </c>
      <c r="E15" s="43" t="s">
        <v>33</v>
      </c>
      <c r="F15" s="43">
        <v>600</v>
      </c>
      <c r="G15" s="52">
        <v>12</v>
      </c>
      <c r="H15" s="52">
        <v>138</v>
      </c>
    </row>
    <row r="16" spans="1:8" ht="15" thickBot="1" x14ac:dyDescent="0.35">
      <c r="E16" s="44" t="s">
        <v>35</v>
      </c>
      <c r="F16" s="44">
        <v>100</v>
      </c>
      <c r="G16" s="53">
        <v>10.5</v>
      </c>
      <c r="H16" s="53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D137"/>
  <sheetViews>
    <sheetView topLeftCell="C61" workbookViewId="0">
      <selection activeCell="B73" sqref="B73:N73"/>
    </sheetView>
  </sheetViews>
  <sheetFormatPr defaultRowHeight="14.4" x14ac:dyDescent="0.3"/>
  <cols>
    <col min="1" max="1" width="19.77734375" bestFit="1" customWidth="1"/>
    <col min="2" max="2" width="16.88671875" bestFit="1" customWidth="1"/>
    <col min="3" max="3" width="12.5546875" bestFit="1" customWidth="1"/>
    <col min="4" max="4" width="13.77734375" bestFit="1" customWidth="1"/>
    <col min="5" max="5" width="14.5546875" bestFit="1" customWidth="1"/>
    <col min="6" max="6" width="18.6640625" bestFit="1" customWidth="1"/>
    <col min="7" max="7" width="19" bestFit="1" customWidth="1"/>
    <col min="8" max="8" width="13.44140625" bestFit="1" customWidth="1"/>
    <col min="9" max="9" width="16.88671875" bestFit="1" customWidth="1"/>
    <col min="10" max="10" width="17.5546875" bestFit="1" customWidth="1"/>
    <col min="11" max="11" width="21.21875" bestFit="1" customWidth="1"/>
    <col min="12" max="12" width="12.109375" bestFit="1" customWidth="1"/>
    <col min="13" max="13" width="11.5546875" bestFit="1" customWidth="1"/>
    <col min="14" max="15" width="16.88671875" bestFit="1" customWidth="1"/>
    <col min="16" max="16" width="13.109375" bestFit="1" customWidth="1"/>
    <col min="17" max="17" width="6" bestFit="1" customWidth="1"/>
    <col min="18" max="18" width="9.109375" bestFit="1" customWidth="1"/>
    <col min="19" max="19" width="10" bestFit="1" customWidth="1"/>
    <col min="20" max="20" width="9.109375" bestFit="1" customWidth="1"/>
    <col min="21" max="21" width="11" bestFit="1" customWidth="1"/>
    <col min="22" max="22" width="10" bestFit="1" customWidth="1"/>
    <col min="23" max="23" width="13.44140625" bestFit="1" customWidth="1"/>
    <col min="24" max="24" width="11" bestFit="1" customWidth="1"/>
    <col min="25" max="25" width="7.5546875" bestFit="1" customWidth="1"/>
    <col min="26" max="26" width="12.109375" bestFit="1" customWidth="1"/>
    <col min="27" max="27" width="10" bestFit="1" customWidth="1"/>
    <col min="28" max="28" width="9.77734375" bestFit="1" customWidth="1"/>
    <col min="29" max="29" width="16.88671875" bestFit="1" customWidth="1"/>
    <col min="30" max="30" width="14.44140625" bestFit="1" customWidth="1"/>
  </cols>
  <sheetData>
    <row r="1" spans="1:19" x14ac:dyDescent="0.3">
      <c r="A1" s="119" t="s">
        <v>156</v>
      </c>
      <c r="O1" t="str">
        <f>Shipping_mode</f>
        <v>ship</v>
      </c>
      <c r="P1" t="s">
        <v>108</v>
      </c>
      <c r="Q1" t="s">
        <v>111</v>
      </c>
      <c r="R1" t="s">
        <v>141</v>
      </c>
      <c r="S1" t="s">
        <v>133</v>
      </c>
    </row>
    <row r="2" spans="1:19" x14ac:dyDescent="0.3">
      <c r="A2" s="119"/>
      <c r="N2" t="s">
        <v>112</v>
      </c>
      <c r="O2">
        <f>INDEX(Transportation_tbl[],MATCH('Production Calc'!$O$1,Transportation_tbl[Transportation],0),2)</f>
        <v>70000</v>
      </c>
      <c r="P2">
        <f>State</f>
        <v>1</v>
      </c>
      <c r="Q2">
        <f>Unit</f>
        <v>42000</v>
      </c>
      <c r="R2" t="str">
        <f>Product</f>
        <v>camera</v>
      </c>
      <c r="S2">
        <f>Shipping!J2</f>
        <v>2</v>
      </c>
    </row>
    <row r="3" spans="1:19" x14ac:dyDescent="0.3">
      <c r="A3" t="s">
        <v>99</v>
      </c>
      <c r="B3" s="158" t="s">
        <v>100</v>
      </c>
      <c r="C3" s="158" t="s">
        <v>101</v>
      </c>
      <c r="D3" s="158" t="s">
        <v>102</v>
      </c>
      <c r="E3" s="158" t="s">
        <v>103</v>
      </c>
      <c r="F3" s="158" t="s">
        <v>104</v>
      </c>
      <c r="G3" s="158" t="s">
        <v>105</v>
      </c>
      <c r="H3" s="158" t="s">
        <v>106</v>
      </c>
      <c r="I3" s="158" t="s">
        <v>107</v>
      </c>
      <c r="N3" t="s">
        <v>113</v>
      </c>
      <c r="O3">
        <f>INDEX(Transportation_tbl[],MATCH('Production Calc'!$O$1,Transportation_tbl[Transportation],0),3)</f>
        <v>100</v>
      </c>
    </row>
    <row r="4" spans="1:19" x14ac:dyDescent="0.3">
      <c r="A4" s="101">
        <v>1</v>
      </c>
      <c r="B4" s="154">
        <v>0</v>
      </c>
      <c r="C4" s="154">
        <v>1</v>
      </c>
      <c r="D4" s="154">
        <v>1</v>
      </c>
      <c r="E4" s="154">
        <v>2</v>
      </c>
      <c r="F4" s="154">
        <v>2</v>
      </c>
      <c r="G4" s="154">
        <v>2</v>
      </c>
      <c r="H4" s="154">
        <v>2</v>
      </c>
      <c r="I4" s="154">
        <v>3</v>
      </c>
    </row>
    <row r="5" spans="1:19" x14ac:dyDescent="0.3">
      <c r="A5" s="101">
        <v>2</v>
      </c>
      <c r="B5" s="154">
        <v>1</v>
      </c>
      <c r="C5" s="154">
        <v>0</v>
      </c>
      <c r="D5" s="154">
        <v>1</v>
      </c>
      <c r="E5" s="154">
        <v>1</v>
      </c>
      <c r="F5" s="154">
        <v>1</v>
      </c>
      <c r="G5" s="154">
        <v>2</v>
      </c>
      <c r="H5" s="154">
        <v>2</v>
      </c>
      <c r="I5" s="154">
        <v>3</v>
      </c>
    </row>
    <row r="6" spans="1:19" x14ac:dyDescent="0.3">
      <c r="A6" s="101">
        <v>3</v>
      </c>
      <c r="B6" s="154">
        <v>1</v>
      </c>
      <c r="C6" s="154">
        <v>1</v>
      </c>
      <c r="D6" s="154">
        <v>0</v>
      </c>
      <c r="E6" s="154">
        <v>2</v>
      </c>
      <c r="F6" s="154">
        <v>1</v>
      </c>
      <c r="G6" s="154">
        <v>1</v>
      </c>
      <c r="H6" s="154">
        <v>1</v>
      </c>
      <c r="I6" s="154">
        <v>2</v>
      </c>
    </row>
    <row r="7" spans="1:19" x14ac:dyDescent="0.3">
      <c r="A7" s="101">
        <v>4</v>
      </c>
      <c r="B7" s="154">
        <v>2</v>
      </c>
      <c r="C7" s="154">
        <v>1</v>
      </c>
      <c r="D7" s="154">
        <v>2</v>
      </c>
      <c r="E7" s="154">
        <v>0</v>
      </c>
      <c r="F7" s="154">
        <v>1</v>
      </c>
      <c r="G7" s="154">
        <v>2</v>
      </c>
      <c r="H7" s="154">
        <v>3</v>
      </c>
      <c r="I7" s="154">
        <v>3</v>
      </c>
    </row>
    <row r="8" spans="1:19" x14ac:dyDescent="0.3">
      <c r="A8" s="101">
        <v>5</v>
      </c>
      <c r="B8" s="154">
        <v>2</v>
      </c>
      <c r="C8" s="154">
        <v>1</v>
      </c>
      <c r="D8" s="154">
        <v>1</v>
      </c>
      <c r="E8" s="154">
        <v>1</v>
      </c>
      <c r="F8" s="154">
        <v>0</v>
      </c>
      <c r="G8" s="154">
        <v>1</v>
      </c>
      <c r="H8" s="154">
        <v>2</v>
      </c>
      <c r="I8" s="154">
        <v>2</v>
      </c>
    </row>
    <row r="9" spans="1:19" x14ac:dyDescent="0.3">
      <c r="A9" s="101">
        <v>6</v>
      </c>
      <c r="B9" s="154">
        <v>2</v>
      </c>
      <c r="C9" s="154">
        <v>2</v>
      </c>
      <c r="D9" s="155">
        <v>1</v>
      </c>
      <c r="E9" s="154">
        <v>2</v>
      </c>
      <c r="F9" s="154">
        <v>1</v>
      </c>
      <c r="G9" s="154">
        <v>0</v>
      </c>
      <c r="H9" s="154">
        <v>1</v>
      </c>
      <c r="I9" s="154">
        <v>1</v>
      </c>
    </row>
    <row r="10" spans="1:19" x14ac:dyDescent="0.3">
      <c r="A10" s="101">
        <v>7</v>
      </c>
      <c r="B10" s="154">
        <v>2</v>
      </c>
      <c r="C10" s="154">
        <v>2</v>
      </c>
      <c r="D10" s="154">
        <v>1</v>
      </c>
      <c r="E10" s="154">
        <v>3</v>
      </c>
      <c r="F10" s="154">
        <v>2</v>
      </c>
      <c r="G10" s="154">
        <v>1</v>
      </c>
      <c r="H10" s="154">
        <v>0</v>
      </c>
      <c r="I10" s="154">
        <v>1</v>
      </c>
    </row>
    <row r="11" spans="1:19" x14ac:dyDescent="0.3">
      <c r="A11" s="101">
        <v>8</v>
      </c>
      <c r="B11" s="154">
        <v>3</v>
      </c>
      <c r="C11" s="154">
        <v>3</v>
      </c>
      <c r="D11" s="154">
        <v>2</v>
      </c>
      <c r="E11" s="154">
        <v>3</v>
      </c>
      <c r="F11" s="154">
        <v>2</v>
      </c>
      <c r="G11" s="154">
        <v>1</v>
      </c>
      <c r="H11" s="154">
        <v>1</v>
      </c>
      <c r="I11" s="154">
        <v>0</v>
      </c>
    </row>
    <row r="15" spans="1:19" x14ac:dyDescent="0.3">
      <c r="A15" t="s">
        <v>158</v>
      </c>
      <c r="B15" s="158" t="s">
        <v>100</v>
      </c>
      <c r="C15" s="158" t="s">
        <v>101</v>
      </c>
      <c r="D15" s="158" t="s">
        <v>102</v>
      </c>
      <c r="E15" s="158" t="s">
        <v>103</v>
      </c>
      <c r="F15" s="158" t="s">
        <v>104</v>
      </c>
      <c r="G15" s="158" t="s">
        <v>105</v>
      </c>
      <c r="H15" s="158" t="s">
        <v>106</v>
      </c>
      <c r="I15" s="158" t="s">
        <v>107</v>
      </c>
    </row>
    <row r="16" spans="1:19" x14ac:dyDescent="0.3">
      <c r="A16" t="s">
        <v>17</v>
      </c>
      <c r="B16" s="119">
        <v>0</v>
      </c>
      <c r="C16" s="119">
        <v>0</v>
      </c>
      <c r="D16" s="119">
        <v>1</v>
      </c>
      <c r="E16" s="119">
        <v>1</v>
      </c>
      <c r="F16" s="119">
        <v>0</v>
      </c>
      <c r="G16" s="119">
        <v>0</v>
      </c>
      <c r="H16" s="119">
        <v>0</v>
      </c>
      <c r="I16" s="119">
        <v>0</v>
      </c>
    </row>
    <row r="17" spans="1:9" x14ac:dyDescent="0.3">
      <c r="A17" t="s">
        <v>15</v>
      </c>
      <c r="B17" s="119">
        <v>1</v>
      </c>
      <c r="C17" s="119">
        <v>0</v>
      </c>
      <c r="D17" s="119">
        <v>0</v>
      </c>
      <c r="E17" s="119">
        <v>0</v>
      </c>
      <c r="F17" s="119">
        <v>0</v>
      </c>
      <c r="G17" s="119">
        <v>1</v>
      </c>
      <c r="H17" s="119">
        <v>1</v>
      </c>
      <c r="I17" s="119">
        <v>1</v>
      </c>
    </row>
    <row r="18" spans="1:9" x14ac:dyDescent="0.3">
      <c r="A18" t="s">
        <v>19</v>
      </c>
      <c r="B18" s="119">
        <v>1</v>
      </c>
      <c r="C18" s="119">
        <v>0</v>
      </c>
      <c r="D18" s="119">
        <v>0</v>
      </c>
      <c r="E18" s="119">
        <v>0</v>
      </c>
      <c r="F18" s="119">
        <v>0</v>
      </c>
      <c r="G18" s="119">
        <v>0</v>
      </c>
      <c r="H18" s="119">
        <v>0</v>
      </c>
      <c r="I18" s="119">
        <v>0</v>
      </c>
    </row>
    <row r="19" spans="1:9" x14ac:dyDescent="0.3">
      <c r="A19" t="s">
        <v>29</v>
      </c>
      <c r="B19" s="119">
        <v>0</v>
      </c>
      <c r="C19" s="119">
        <v>1</v>
      </c>
      <c r="D19" s="119">
        <v>0</v>
      </c>
      <c r="E19" s="119">
        <v>1</v>
      </c>
      <c r="F19" s="119">
        <v>0</v>
      </c>
      <c r="G19" s="119">
        <v>0</v>
      </c>
      <c r="H19" s="119">
        <v>0</v>
      </c>
      <c r="I19" s="119">
        <v>0</v>
      </c>
    </row>
    <row r="20" spans="1:9" x14ac:dyDescent="0.3">
      <c r="A20" t="s">
        <v>13</v>
      </c>
      <c r="B20" s="119">
        <v>0</v>
      </c>
      <c r="C20" s="119">
        <v>0</v>
      </c>
      <c r="D20" s="119">
        <v>0</v>
      </c>
      <c r="E20" s="119">
        <v>0</v>
      </c>
      <c r="F20" s="119">
        <v>0</v>
      </c>
      <c r="G20" s="119">
        <v>0</v>
      </c>
      <c r="H20" s="119">
        <v>1</v>
      </c>
      <c r="I20" s="119">
        <v>0</v>
      </c>
    </row>
    <row r="21" spans="1:9" x14ac:dyDescent="0.3">
      <c r="A21" t="s">
        <v>11</v>
      </c>
      <c r="B21" s="119">
        <v>0</v>
      </c>
      <c r="C21" s="119">
        <v>1</v>
      </c>
      <c r="D21" s="119">
        <v>1</v>
      </c>
      <c r="E21" s="119">
        <v>1</v>
      </c>
      <c r="F21" s="119">
        <v>0</v>
      </c>
      <c r="G21" s="119">
        <v>0</v>
      </c>
      <c r="H21" s="119">
        <v>0</v>
      </c>
      <c r="I21" s="119">
        <v>0</v>
      </c>
    </row>
    <row r="22" spans="1:9" x14ac:dyDescent="0.3">
      <c r="A22" t="s">
        <v>22</v>
      </c>
      <c r="B22" s="119">
        <v>0</v>
      </c>
      <c r="C22" s="119">
        <v>1</v>
      </c>
      <c r="D22" s="119">
        <v>0</v>
      </c>
      <c r="E22" s="119">
        <v>0</v>
      </c>
      <c r="F22" s="119">
        <v>1</v>
      </c>
      <c r="G22" s="119">
        <v>0</v>
      </c>
      <c r="H22" s="119">
        <v>0</v>
      </c>
      <c r="I22" s="119">
        <v>0</v>
      </c>
    </row>
    <row r="23" spans="1:9" x14ac:dyDescent="0.3">
      <c r="A23" t="s">
        <v>179</v>
      </c>
      <c r="B23" s="119">
        <v>1</v>
      </c>
      <c r="C23" s="119">
        <v>0</v>
      </c>
      <c r="D23" s="119">
        <v>0</v>
      </c>
      <c r="E23" s="119">
        <v>0</v>
      </c>
      <c r="F23" s="119">
        <v>0</v>
      </c>
      <c r="G23" s="119">
        <v>0</v>
      </c>
      <c r="H23" s="119">
        <v>1</v>
      </c>
      <c r="I23" s="119">
        <v>0</v>
      </c>
    </row>
    <row r="24" spans="1:9" x14ac:dyDescent="0.3">
      <c r="A24" t="s">
        <v>31</v>
      </c>
      <c r="B24" s="119">
        <v>0</v>
      </c>
      <c r="C24" s="119">
        <v>0</v>
      </c>
      <c r="D24" s="119">
        <v>1</v>
      </c>
      <c r="E24" s="119">
        <v>1</v>
      </c>
      <c r="F24" s="119">
        <v>0</v>
      </c>
      <c r="G24" s="119">
        <v>0</v>
      </c>
      <c r="H24" s="119">
        <v>0</v>
      </c>
      <c r="I24" s="119">
        <v>0</v>
      </c>
    </row>
    <row r="25" spans="1:9" x14ac:dyDescent="0.3">
      <c r="A25" t="s">
        <v>27</v>
      </c>
      <c r="B25" s="119">
        <v>0</v>
      </c>
      <c r="C25" s="119">
        <v>0</v>
      </c>
      <c r="D25" s="119">
        <v>0</v>
      </c>
      <c r="E25" s="119">
        <v>1</v>
      </c>
      <c r="F25" s="119">
        <v>0</v>
      </c>
      <c r="G25" s="119">
        <v>1</v>
      </c>
      <c r="H25" s="119">
        <v>0</v>
      </c>
      <c r="I25" s="119">
        <v>1</v>
      </c>
    </row>
    <row r="26" spans="1:9" x14ac:dyDescent="0.3">
      <c r="A26" t="s">
        <v>25</v>
      </c>
      <c r="B26" s="119">
        <v>0</v>
      </c>
      <c r="C26" s="119">
        <v>0</v>
      </c>
      <c r="D26" s="119">
        <v>0</v>
      </c>
      <c r="E26" s="119">
        <v>0</v>
      </c>
      <c r="F26" s="119">
        <v>1</v>
      </c>
      <c r="G26" s="119">
        <v>0</v>
      </c>
      <c r="H26" s="119">
        <v>0</v>
      </c>
      <c r="I26" s="119">
        <v>1</v>
      </c>
    </row>
    <row r="27" spans="1:9" x14ac:dyDescent="0.3">
      <c r="A27" t="s">
        <v>23</v>
      </c>
      <c r="B27" s="119">
        <v>1</v>
      </c>
      <c r="C27" s="119">
        <v>0</v>
      </c>
      <c r="D27" s="119">
        <v>0</v>
      </c>
      <c r="E27" s="119">
        <v>0</v>
      </c>
      <c r="F27" s="119">
        <v>0</v>
      </c>
      <c r="G27" s="119">
        <v>1</v>
      </c>
      <c r="H27" s="119">
        <v>0</v>
      </c>
      <c r="I27" s="119">
        <v>0</v>
      </c>
    </row>
    <row r="28" spans="1:9" x14ac:dyDescent="0.3">
      <c r="A28" t="s">
        <v>33</v>
      </c>
      <c r="B28" s="119">
        <v>0</v>
      </c>
      <c r="C28" s="119">
        <v>1</v>
      </c>
      <c r="D28" s="119">
        <v>0</v>
      </c>
      <c r="E28" s="119">
        <v>0</v>
      </c>
      <c r="F28" s="119">
        <v>0</v>
      </c>
      <c r="G28" s="119">
        <v>0</v>
      </c>
      <c r="H28" s="119">
        <v>0</v>
      </c>
      <c r="I28" s="119">
        <v>1</v>
      </c>
    </row>
    <row r="31" spans="1:9" x14ac:dyDescent="0.3">
      <c r="A31" s="119" t="s">
        <v>114</v>
      </c>
    </row>
    <row r="33" spans="1:11" x14ac:dyDescent="0.3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</row>
    <row r="34" spans="1:11" x14ac:dyDescent="0.3">
      <c r="A34" t="s">
        <v>157</v>
      </c>
      <c r="B34" t="s">
        <v>100</v>
      </c>
      <c r="C34" t="s">
        <v>101</v>
      </c>
      <c r="D34" t="s">
        <v>102</v>
      </c>
      <c r="E34" t="s">
        <v>103</v>
      </c>
      <c r="F34" t="s">
        <v>104</v>
      </c>
      <c r="G34" t="s">
        <v>105</v>
      </c>
      <c r="H34" t="s">
        <v>106</v>
      </c>
      <c r="I34" t="s">
        <v>107</v>
      </c>
      <c r="J34" t="s">
        <v>109</v>
      </c>
      <c r="K34" t="s">
        <v>110</v>
      </c>
    </row>
    <row r="35" spans="1:11" x14ac:dyDescent="0.3">
      <c r="A35" t="s">
        <v>18</v>
      </c>
      <c r="B35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35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5" s="102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>161651.51389911681</v>
      </c>
      <c r="E35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199614.81396815722</v>
      </c>
      <c r="F35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5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5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35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5" s="119">
        <f>MATCH(ShippCost[[#This Row],[Min]],ShippCost[[#This Row],[1]:[8]],0)</f>
        <v>3</v>
      </c>
      <c r="K35" s="156">
        <f>MIN(ShippCost[[#This Row],[1]:[8]])</f>
        <v>161651.51389911681</v>
      </c>
    </row>
    <row r="36" spans="1:11" x14ac:dyDescent="0.3">
      <c r="A36" t="s">
        <v>16</v>
      </c>
      <c r="B36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36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6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6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36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6" s="102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>70000</v>
      </c>
      <c r="H36" s="102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>70000</v>
      </c>
      <c r="I36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70000</v>
      </c>
      <c r="J36" s="119">
        <f>MATCH(ShippCost[[#This Row],[Min]],ShippCost[[#This Row],[1]:[8]],0)</f>
        <v>1</v>
      </c>
      <c r="K36" s="156">
        <f>MIN(ShippCost[[#This Row],[1]:[8]])</f>
        <v>70000</v>
      </c>
    </row>
    <row r="37" spans="1:11" x14ac:dyDescent="0.3">
      <c r="A37" t="s">
        <v>20</v>
      </c>
      <c r="B37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37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7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7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37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7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7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37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7" s="119">
        <f>MATCH(ShippCost[[#This Row],[Min]],ShippCost[[#This Row],[1]:[8]],0)</f>
        <v>1</v>
      </c>
      <c r="K37" s="156">
        <f>MIN(ShippCost[[#This Row],[1]:[8]])</f>
        <v>70000</v>
      </c>
    </row>
    <row r="38" spans="1:11" x14ac:dyDescent="0.3">
      <c r="A38" t="s">
        <v>30</v>
      </c>
      <c r="B38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38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38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8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38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8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8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38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8" s="119">
        <f>MATCH(ShippCost[[#This Row],[Min]],ShippCost[[#This Row],[1]:[8]],0)</f>
        <v>2</v>
      </c>
      <c r="K38" s="156">
        <f>MIN(ShippCost[[#This Row],[1]:[8]])</f>
        <v>70000</v>
      </c>
    </row>
    <row r="39" spans="1:11" x14ac:dyDescent="0.3">
      <c r="A39" t="s">
        <v>14</v>
      </c>
      <c r="B39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39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39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39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39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39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39" s="102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>70000</v>
      </c>
      <c r="I39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39" s="119">
        <f>MATCH(ShippCost[[#This Row],[Min]],ShippCost[[#This Row],[1]:[8]],0)</f>
        <v>7</v>
      </c>
      <c r="K39" s="156">
        <f>MIN(ShippCost[[#This Row],[1]:[8]])</f>
        <v>70000</v>
      </c>
    </row>
    <row r="40" spans="1:11" x14ac:dyDescent="0.3">
      <c r="A40" t="s">
        <v>11</v>
      </c>
      <c r="B40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0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40" s="102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>70000</v>
      </c>
      <c r="E40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40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0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0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0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0" s="119">
        <f>MATCH(ShippCost[[#This Row],[Min]],ShippCost[[#This Row],[1]:[8]],0)</f>
        <v>2</v>
      </c>
      <c r="K40" s="156">
        <f>MIN(ShippCost[[#This Row],[1]:[8]])</f>
        <v>70000</v>
      </c>
    </row>
    <row r="41" spans="1:11" x14ac:dyDescent="0.3">
      <c r="A41" t="s">
        <v>21</v>
      </c>
      <c r="B41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1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41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1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1" s="102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>70000</v>
      </c>
      <c r="G41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1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1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1" s="119">
        <f>MATCH(ShippCost[[#This Row],[Min]],ShippCost[[#This Row],[1]:[8]],0)</f>
        <v>2</v>
      </c>
      <c r="K41" s="156">
        <f>MIN(ShippCost[[#This Row],[1]:[8]])</f>
        <v>70000</v>
      </c>
    </row>
    <row r="42" spans="1:11" x14ac:dyDescent="0.3">
      <c r="A42" t="s">
        <v>179</v>
      </c>
      <c r="B42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42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2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2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2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2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2" s="102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>70000</v>
      </c>
      <c r="I42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2" s="119">
        <f>MATCH(ShippCost[[#This Row],[Min]],ShippCost[[#This Row],[1]:[8]],0)</f>
        <v>1</v>
      </c>
      <c r="K42" s="156">
        <f>MIN(ShippCost[[#This Row],[1]:[8]])</f>
        <v>70000</v>
      </c>
    </row>
    <row r="43" spans="1:11" x14ac:dyDescent="0.3">
      <c r="A43" t="s">
        <v>31</v>
      </c>
      <c r="B43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3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3" s="102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>70000</v>
      </c>
      <c r="E43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43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3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3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3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3" s="119">
        <f>MATCH(ShippCost[[#This Row],[Min]],ShippCost[[#This Row],[1]:[8]],0)</f>
        <v>3</v>
      </c>
      <c r="K43" s="156">
        <f>MIN(ShippCost[[#This Row],[1]:[8]])</f>
        <v>70000</v>
      </c>
    </row>
    <row r="44" spans="1:11" x14ac:dyDescent="0.3">
      <c r="A44" t="s">
        <v>27</v>
      </c>
      <c r="B44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4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4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4" s="102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>70000</v>
      </c>
      <c r="F44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4" s="102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>70000</v>
      </c>
      <c r="H44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4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70000</v>
      </c>
      <c r="J44" s="119">
        <f>MATCH(ShippCost[[#This Row],[Min]],ShippCost[[#This Row],[1]:[8]],0)</f>
        <v>4</v>
      </c>
      <c r="K44" s="156">
        <f>MIN(ShippCost[[#This Row],[1]:[8]])</f>
        <v>70000</v>
      </c>
    </row>
    <row r="45" spans="1:11" x14ac:dyDescent="0.3">
      <c r="A45" t="s">
        <v>25</v>
      </c>
      <c r="B45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5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5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5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5" s="102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>458844.44190447161</v>
      </c>
      <c r="G45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5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5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546235.23599162628</v>
      </c>
      <c r="J45" s="119">
        <f>MATCH(ShippCost[[#This Row],[Min]],ShippCost[[#This Row],[1]:[8]],0)</f>
        <v>5</v>
      </c>
      <c r="K45" s="156">
        <f>MIN(ShippCost[[#This Row],[1]:[8]])</f>
        <v>458844.44190447161</v>
      </c>
    </row>
    <row r="46" spans="1:11" x14ac:dyDescent="0.3">
      <c r="A46" t="s">
        <v>23</v>
      </c>
      <c r="B46" s="102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>70000</v>
      </c>
      <c r="C46" s="102" t="str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 xml:space="preserve"> </v>
      </c>
      <c r="D46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6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6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6" s="102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>70000</v>
      </c>
      <c r="H46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6" s="102" t="str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 xml:space="preserve"> </v>
      </c>
      <c r="J46" s="119">
        <f>MATCH(ShippCost[[#This Row],[Min]],ShippCost[[#This Row],[1]:[8]],0)</f>
        <v>1</v>
      </c>
      <c r="K46" s="156">
        <f>MIN(ShippCost[[#This Row],[1]:[8]])</f>
        <v>70000</v>
      </c>
    </row>
    <row r="47" spans="1:11" x14ac:dyDescent="0.3">
      <c r="A47" t="s">
        <v>33</v>
      </c>
      <c r="B47" s="102" t="str">
        <f>IF(INDEX(Inventory_State[[8]:[1]],MATCH(ShippCost[[Resource/State]:[Resource/State]],Inventory_State[[Resorce/State]:[Resorce/State]],0),B$33)=1,IF(INDEX(Distance_tbl[[1]:[8]],MATCH(B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Row],[Resource/State]:[Resource/State]],MatAmtVol[[#Headers],[aluminium]:[VibrationMotor]],0))*INDEX(Distance_tbl[[1]:[8]],MATCH(B$33,Distance_tbl[[States]:[States]],0),$P$2))))," ")</f>
        <v xml:space="preserve"> </v>
      </c>
      <c r="C47" s="102">
        <f>IF(INDEX(Inventory_State[[8]:[1]],MATCH(ShippCost[[Resource/State]:[Resource/State]],Inventory_State[[Resorce/State]:[Resorce/State]],0),C$33)=1,IF(INDEX(Distance_tbl[[1]:[8]],MATCH(C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Row],[Resource/State]:[Resource/State]],MatAmtVol[[#Headers],[aluminium]:[VibrationMotor]],0))*INDEX(Distance_tbl[[1]:[8]],MATCH(C$33,Distance_tbl[[States]:[States]],0),$P$2))))," ")</f>
        <v>70000</v>
      </c>
      <c r="D47" s="102" t="str">
        <f>IF(INDEX(Inventory_State[[8]:[1]],MATCH(ShippCost[[Resource/State]:[Resource/State]],Inventory_State[[Resorce/State]:[Resorce/State]],0),D$33)=1,IF(INDEX(Distance_tbl[[1]:[8]],MATCH(D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Row],[Resource/State]:[Resource/State]],MatAmtVol[[#Headers],[aluminium]:[VibrationMotor]],0))*INDEX(Distance_tbl[[1]:[8]],MATCH(D$33,Distance_tbl[[States]:[States]],0),$P$2))))," ")</f>
        <v xml:space="preserve"> </v>
      </c>
      <c r="E47" s="102" t="str">
        <f>IF(INDEX(Inventory_State[[8]:[1]],MATCH(ShippCost[[Resource/State]:[Resource/State]],Inventory_State[[Resorce/State]:[Resorce/State]],0),E$33)=1,IF(INDEX(Distance_tbl[[1]:[8]],MATCH(E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Row],[Resource/State]:[Resource/State]],MatAmtVol[[#Headers],[aluminium]:[VibrationMotor]],0))*INDEX(Distance_tbl[[1]:[8]],MATCH(E$33,Distance_tbl[[States]:[States]],0),$P$2))))," ")</f>
        <v xml:space="preserve"> </v>
      </c>
      <c r="F47" s="102" t="str">
        <f>IF(INDEX(Inventory_State[[8]:[1]],MATCH(ShippCost[[Resource/State]:[Resource/State]],Inventory_State[[Resorce/State]:[Resorce/State]],0),F$33)=1,IF(INDEX(Distance_tbl[[1]:[8]],MATCH(F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Row],[Resource/State]:[Resource/State]],MatAmtVol[[#Headers],[aluminium]:[VibrationMotor]],0))*INDEX(Distance_tbl[[1]:[8]],MATCH(F$33,Distance_tbl[[States]:[States]],0),$P$2))))," ")</f>
        <v xml:space="preserve"> </v>
      </c>
      <c r="G47" s="102" t="str">
        <f>IF(INDEX(Inventory_State[[8]:[1]],MATCH(ShippCost[[Resource/State]:[Resource/State]],Inventory_State[[Resorce/State]:[Resorce/State]],0),G$33)=1,IF(INDEX(Distance_tbl[[1]:[8]],MATCH(G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Row],[Resource/State]:[Resource/State]],MatAmtVol[[#Headers],[aluminium]:[VibrationMotor]],0))*INDEX(Distance_tbl[[1]:[8]],MATCH(G$33,Distance_tbl[[States]:[States]],0),$P$2))))," ")</f>
        <v xml:space="preserve"> </v>
      </c>
      <c r="H47" s="102" t="str">
        <f>IF(INDEX(Inventory_State[[8]:[1]],MATCH(ShippCost[[Resource/State]:[Resource/State]],Inventory_State[[Resorce/State]:[Resorce/State]],0),H$33)=1,IF(INDEX(Distance_tbl[[1]:[8]],MATCH(H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Row],[Resource/State]:[Resource/State]],MatAmtVol[[#Headers],[aluminium]:[VibrationMotor]],0))*INDEX(Distance_tbl[[1]:[8]],MATCH(H$33,Distance_tbl[[States]:[States]],0),$P$2))))," ")</f>
        <v xml:space="preserve"> </v>
      </c>
      <c r="I47" s="102">
        <f>IF(INDEX(Inventory_State[[8]:[1]],MATCH(ShippCost[[Resource/State]:[Resource/State]],Inventory_State[[Resorce/State]:[Resorce/State]],0),I$33)=1,IF(INDEX(Distance_tbl[[1]:[8]],MATCH(I$33,Distance_tbl[[States]:[States]],0),$P$2)=0,70000,($O$2+$O$3*SQRT(INDEX(MatAmtVol[[aluminium]:[VibrationMotor]],MATCH($R$2,MatAmtVol[[Product Name]:[Product Name]],0),MATCH(ShippCost[[#This Row],[Resource/State]:[Resource/State]],MatAmtVol[[#Headers],[aluminium]:[VibrationMotor]],0))*INDEX(Distance_tbl[[1]:[8]],MATCH(I$33,Distance_tbl[[States]:[States]],0),$P$2))))," ")</f>
        <v>70000</v>
      </c>
      <c r="J47" s="119">
        <f>MATCH(ShippCost[[#This Row],[Min]],ShippCost[[#This Row],[1]:[8]],0)</f>
        <v>2</v>
      </c>
      <c r="K47" s="156">
        <f>MIN(ShippCost[[#This Row],[1]:[8]])</f>
        <v>70000</v>
      </c>
    </row>
    <row r="48" spans="1:11" x14ac:dyDescent="0.3">
      <c r="B48" s="102"/>
      <c r="C48" s="102"/>
      <c r="D48" s="102"/>
      <c r="E48" s="102"/>
      <c r="F48" s="102"/>
      <c r="G48" s="102"/>
      <c r="H48" s="102"/>
      <c r="I48" s="102"/>
      <c r="J48" s="119"/>
      <c r="K48" s="156"/>
    </row>
    <row r="49" spans="1:27" x14ac:dyDescent="0.3">
      <c r="B49" s="102"/>
      <c r="C49" s="102"/>
      <c r="D49" s="102"/>
      <c r="E49" s="102"/>
      <c r="F49" s="102"/>
      <c r="G49" s="102"/>
      <c r="H49" s="102"/>
      <c r="I49" s="102"/>
      <c r="J49" s="119"/>
      <c r="K49" s="156"/>
    </row>
    <row r="50" spans="1:27" x14ac:dyDescent="0.3">
      <c r="A50" s="119" t="s">
        <v>159</v>
      </c>
      <c r="B50" s="102"/>
      <c r="C50" s="102"/>
      <c r="D50" s="102"/>
      <c r="E50" s="102"/>
      <c r="F50" s="102"/>
      <c r="G50" s="102"/>
      <c r="H50" s="102"/>
      <c r="I50" s="102"/>
      <c r="J50" s="119"/>
      <c r="K50" s="156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x14ac:dyDescent="0.3">
      <c r="B51" s="102"/>
      <c r="C51" s="102"/>
      <c r="D51" s="102"/>
      <c r="E51" s="102"/>
      <c r="F51" s="102"/>
      <c r="G51" s="102"/>
      <c r="H51" s="102"/>
      <c r="I51" s="102"/>
      <c r="J51" s="119"/>
      <c r="K51" s="156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x14ac:dyDescent="0.3">
      <c r="B52">
        <v>1</v>
      </c>
      <c r="C52">
        <v>2</v>
      </c>
      <c r="D52">
        <v>3</v>
      </c>
      <c r="E52">
        <v>4</v>
      </c>
      <c r="F52">
        <v>5</v>
      </c>
      <c r="G52">
        <v>6</v>
      </c>
      <c r="H52">
        <v>7</v>
      </c>
      <c r="I52">
        <v>8</v>
      </c>
      <c r="J52">
        <v>9</v>
      </c>
      <c r="K52">
        <v>10</v>
      </c>
      <c r="L52">
        <v>11</v>
      </c>
      <c r="M52">
        <v>12</v>
      </c>
      <c r="N52">
        <v>13</v>
      </c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x14ac:dyDescent="0.3">
      <c r="A53" t="s">
        <v>2</v>
      </c>
      <c r="B53" t="s">
        <v>116</v>
      </c>
      <c r="C53" t="s">
        <v>13</v>
      </c>
      <c r="D53" t="s">
        <v>15</v>
      </c>
      <c r="E53" t="s">
        <v>17</v>
      </c>
      <c r="F53" t="s">
        <v>19</v>
      </c>
      <c r="G53" t="s">
        <v>21</v>
      </c>
      <c r="H53" t="s">
        <v>23</v>
      </c>
      <c r="I53" t="s">
        <v>25</v>
      </c>
      <c r="J53" t="s">
        <v>27</v>
      </c>
      <c r="K53" t="s">
        <v>29</v>
      </c>
      <c r="L53" t="s">
        <v>31</v>
      </c>
      <c r="M53" t="s">
        <v>33</v>
      </c>
      <c r="N53" t="s">
        <v>179</v>
      </c>
      <c r="O53" t="s">
        <v>136</v>
      </c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x14ac:dyDescent="0.3">
      <c r="A54" t="s">
        <v>88</v>
      </c>
      <c r="B54" s="102">
        <f>IF(INDEX(midL1[[aluminium]:[VibrationMotor]],MATCH($A54,midL1[[Product Name]:[Product Name]],0),B$52)&gt;0,INDEX(ShippCost[[Min]:[Min]],MATCH(B$53,ShippCost[[Resource/State]:[Resource/State]],0),1),0)</f>
        <v>70000</v>
      </c>
      <c r="C54" s="102">
        <f>IF(INDEX(midL1[[aluminium]:[VibrationMotor]],MATCH($A54,midL1[[Product Name]:[Product Name]],0),C$52)&gt;0,INDEX(ShippCost[[Min]:[Min]],MATCH(C$53,ShippCost[[Resource/State]:[Resource/State]],0),1),0)</f>
        <v>0</v>
      </c>
      <c r="D54" s="102">
        <f>IF(INDEX(midL1[[aluminium]:[VibrationMotor]],MATCH($A54,midL1[[Product Name]:[Product Name]],0),D$52)&gt;0,INDEX(ShippCost[[Min]:[Min]],MATCH(D$53,ShippCost[[Resource/State]:[Resource/State]],0),1),0)</f>
        <v>0</v>
      </c>
      <c r="E54" s="102">
        <f>IF(INDEX(midL1[[aluminium]:[VibrationMotor]],MATCH($A54,midL1[[Product Name]:[Product Name]],0),E$52)&gt;0,INDEX(ShippCost[[Min]:[Min]],MATCH(E$53,ShippCost[[Resource/State]:[Resource/State]],0),1),0)</f>
        <v>161651.51389911681</v>
      </c>
      <c r="F54" s="102">
        <f>IF(INDEX(midL1[[aluminium]:[VibrationMotor]],MATCH($A54,midL1[[Product Name]:[Product Name]],0),F$52)&gt;0,INDEX(ShippCost[[Min]:[Min]],MATCH(F$53,ShippCost[[Resource/State]:[Resource/State]],0),1),0)</f>
        <v>0</v>
      </c>
      <c r="G54" s="102">
        <f>IF(INDEX(midL1[[aluminium]:[VibrationMotor]],MATCH($A54,midL1[[Product Name]:[Product Name]],0),G$52)&gt;0,INDEX(ShippCost[[Min]:[Min]],MATCH(G$53,ShippCost[[Resource/State]:[Resource/State]],0),1),0)</f>
        <v>0</v>
      </c>
      <c r="H54" s="102">
        <f>IF(INDEX(midL1[[aluminium]:[VibrationMotor]],MATCH($A54,midL1[[Product Name]:[Product Name]],0),H$52)&gt;0,INDEX(ShippCost[[Min]:[Min]],MATCH(H$53,ShippCost[[Resource/State]:[Resource/State]],0),1),0)</f>
        <v>0</v>
      </c>
      <c r="I54" s="102">
        <f>IF(INDEX(midL1[[aluminium]:[VibrationMotor]],MATCH($A54,midL1[[Product Name]:[Product Name]],0),I$52)&gt;0,INDEX(ShippCost[[Min]:[Min]],MATCH(I$53,ShippCost[[Resource/State]:[Resource/State]],0),1),0)</f>
        <v>458844.44190447161</v>
      </c>
      <c r="J54" s="102">
        <f>IF(INDEX(midL1[[aluminium]:[VibrationMotor]],MATCH($A54,midL1[[Product Name]:[Product Name]],0),J$52)&gt;0,INDEX(ShippCost[[Min]:[Min]],MATCH(J$53,ShippCost[[Resource/State]:[Resource/State]],0),1),0)</f>
        <v>0</v>
      </c>
      <c r="K54" s="102">
        <f>IF(INDEX(midL1[[aluminium]:[VibrationMotor]],MATCH($A54,midL1[[Product Name]:[Product Name]],0),K$52)&gt;0,INDEX(ShippCost[[Min]:[Min]],MATCH(K$53,ShippCost[[Resource/State]:[Resource/State]],0),1),0)</f>
        <v>0</v>
      </c>
      <c r="L54" s="102">
        <f>IF(INDEX(midL1[[aluminium]:[VibrationMotor]],MATCH($A54,midL1[[Product Name]:[Product Name]],0),L$52)&gt;0,INDEX(ShippCost[[Min]:[Min]],MATCH(L$53,ShippCost[[Resource/State]:[Resource/State]],0),1),0)</f>
        <v>0</v>
      </c>
      <c r="M54" s="102">
        <f>IF(INDEX(midL1[[aluminium]:[VibrationMotor]],MATCH($A54,midL1[[Product Name]:[Product Name]],0),M$52)&gt;0,INDEX(ShippCost[[Min]:[Min]],MATCH(M$53,ShippCost[[Resource/State]:[Resource/State]],0),1),0)</f>
        <v>0</v>
      </c>
      <c r="N54" s="102">
        <f>IF(INDEX(midL1[[aluminium]:[VibrationMotor]],MATCH($A54,midL1[[Product Name]:[Product Name]],0),N$52)&gt;0,INDEX(ShippCost[[Min]:[Min]],MATCH(N$53,ShippCost[[Resource/State]:[Resource/State]],0),1),0)</f>
        <v>0</v>
      </c>
      <c r="O54" s="102">
        <f>SUM(PrShipCost_tbl[[#This Row],[aluminium]:[VibrationMotor]])</f>
        <v>690495.95580358838</v>
      </c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x14ac:dyDescent="0.3">
      <c r="A55" t="s">
        <v>89</v>
      </c>
      <c r="B55" s="102">
        <f>IF(INDEX(midL1[[aluminium]:[VibrationMotor]],MATCH($A55,midL1[[Product Name]:[Product Name]],0),B$52)&gt;0,INDEX(ShippCost[[Min]:[Min]],MATCH(B$53,ShippCost[[Resource/State]:[Resource/State]],0),1),0)</f>
        <v>70000</v>
      </c>
      <c r="C55" s="102">
        <f>IF(INDEX(midL1[[aluminium]:[VibrationMotor]],MATCH($A55,midL1[[Product Name]:[Product Name]],0),C$52)&gt;0,INDEX(ShippCost[[Min]:[Min]],MATCH(C$53,ShippCost[[Resource/State]:[Resource/State]],0),1),0)</f>
        <v>0</v>
      </c>
      <c r="D55" s="102">
        <f>IF(INDEX(midL1[[aluminium]:[VibrationMotor]],MATCH($A55,midL1[[Product Name]:[Product Name]],0),D$52)&gt;0,INDEX(ShippCost[[Min]:[Min]],MATCH(D$53,ShippCost[[Resource/State]:[Resource/State]],0),1),0)</f>
        <v>0</v>
      </c>
      <c r="E55" s="102">
        <f>IF(INDEX(midL1[[aluminium]:[VibrationMotor]],MATCH($A55,midL1[[Product Name]:[Product Name]],0),E$52)&gt;0,INDEX(ShippCost[[Min]:[Min]],MATCH(E$53,ShippCost[[Resource/State]:[Resource/State]],0),1),0)</f>
        <v>0</v>
      </c>
      <c r="F55" s="102">
        <f>IF(INDEX(midL1[[aluminium]:[VibrationMotor]],MATCH($A55,midL1[[Product Name]:[Product Name]],0),F$52)&gt;0,INDEX(ShippCost[[Min]:[Min]],MATCH(F$53,ShippCost[[Resource/State]:[Resource/State]],0),1),0)</f>
        <v>70000</v>
      </c>
      <c r="G55" s="102">
        <f>IF(INDEX(midL1[[aluminium]:[VibrationMotor]],MATCH($A55,midL1[[Product Name]:[Product Name]],0),G$52)&gt;0,INDEX(ShippCost[[Min]:[Min]],MATCH(G$53,ShippCost[[Resource/State]:[Resource/State]],0),1),0)</f>
        <v>0</v>
      </c>
      <c r="H55" s="102">
        <f>IF(INDEX(midL1[[aluminium]:[VibrationMotor]],MATCH($A55,midL1[[Product Name]:[Product Name]],0),H$52)&gt;0,INDEX(ShippCost[[Min]:[Min]],MATCH(H$53,ShippCost[[Resource/State]:[Resource/State]],0),1),0)</f>
        <v>0</v>
      </c>
      <c r="I55" s="102">
        <f>IF(INDEX(midL1[[aluminium]:[VibrationMotor]],MATCH($A55,midL1[[Product Name]:[Product Name]],0),I$52)&gt;0,INDEX(ShippCost[[Min]:[Min]],MATCH(I$53,ShippCost[[Resource/State]:[Resource/State]],0),1),0)</f>
        <v>0</v>
      </c>
      <c r="J55" s="102">
        <f>IF(INDEX(midL1[[aluminium]:[VibrationMotor]],MATCH($A55,midL1[[Product Name]:[Product Name]],0),J$52)&gt;0,INDEX(ShippCost[[Min]:[Min]],MATCH(J$53,ShippCost[[Resource/State]:[Resource/State]],0),1),0)</f>
        <v>0</v>
      </c>
      <c r="K55" s="102">
        <f>IF(INDEX(midL1[[aluminium]:[VibrationMotor]],MATCH($A55,midL1[[Product Name]:[Product Name]],0),K$52)&gt;0,INDEX(ShippCost[[Min]:[Min]],MATCH(K$53,ShippCost[[Resource/State]:[Resource/State]],0),1),0)</f>
        <v>0</v>
      </c>
      <c r="L55" s="102">
        <f>IF(INDEX(midL1[[aluminium]:[VibrationMotor]],MATCH($A55,midL1[[Product Name]:[Product Name]],0),L$52)&gt;0,INDEX(ShippCost[[Min]:[Min]],MATCH(L$53,ShippCost[[Resource/State]:[Resource/State]],0),1),0)</f>
        <v>70000</v>
      </c>
      <c r="M55" s="102">
        <f>IF(INDEX(midL1[[aluminium]:[VibrationMotor]],MATCH($A55,midL1[[Product Name]:[Product Name]],0),M$52)&gt;0,INDEX(ShippCost[[Min]:[Min]],MATCH(M$53,ShippCost[[Resource/State]:[Resource/State]],0),1),0)</f>
        <v>0</v>
      </c>
      <c r="N55" s="102">
        <f>IF(INDEX(midL1[[aluminium]:[VibrationMotor]],MATCH($A55,midL1[[Product Name]:[Product Name]],0),N$52)&gt;0,INDEX(ShippCost[[Min]:[Min]],MATCH(N$53,ShippCost[[Resource/State]:[Resource/State]],0),1),0)</f>
        <v>0</v>
      </c>
      <c r="O55" s="102">
        <f>SUM(PrShipCost_tbl[[#This Row],[aluminium]:[VibrationMotor]])</f>
        <v>210000</v>
      </c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x14ac:dyDescent="0.3">
      <c r="A56" t="s">
        <v>90</v>
      </c>
      <c r="B56" s="102">
        <f>IF(INDEX(midL1[[aluminium]:[VibrationMotor]],MATCH($A56,midL1[[Product Name]:[Product Name]],0),B$52)&gt;0,INDEX(ShippCost[[Min]:[Min]],MATCH(B$53,ShippCost[[Resource/State]:[Resource/State]],0),1),0)</f>
        <v>0</v>
      </c>
      <c r="C56" s="102">
        <f>IF(INDEX(midL1[[aluminium]:[VibrationMotor]],MATCH($A56,midL1[[Product Name]:[Product Name]],0),C$52)&gt;0,INDEX(ShippCost[[Min]:[Min]],MATCH(C$53,ShippCost[[Resource/State]:[Resource/State]],0),1),0)</f>
        <v>0</v>
      </c>
      <c r="D56" s="102">
        <f>IF(INDEX(midL1[[aluminium]:[VibrationMotor]],MATCH($A56,midL1[[Product Name]:[Product Name]],0),D$52)&gt;0,INDEX(ShippCost[[Min]:[Min]],MATCH(D$53,ShippCost[[Resource/State]:[Resource/State]],0),1),0)</f>
        <v>70000</v>
      </c>
      <c r="E56" s="102">
        <f>IF(INDEX(midL1[[aluminium]:[VibrationMotor]],MATCH($A56,midL1[[Product Name]:[Product Name]],0),E$52)&gt;0,INDEX(ShippCost[[Min]:[Min]],MATCH(E$53,ShippCost[[Resource/State]:[Resource/State]],0),1),0)</f>
        <v>0</v>
      </c>
      <c r="F56" s="102">
        <f>IF(INDEX(midL1[[aluminium]:[VibrationMotor]],MATCH($A56,midL1[[Product Name]:[Product Name]],0),F$52)&gt;0,INDEX(ShippCost[[Min]:[Min]],MATCH(F$53,ShippCost[[Resource/State]:[Resource/State]],0),1),0)</f>
        <v>0</v>
      </c>
      <c r="G56" s="102">
        <f>IF(INDEX(midL1[[aluminium]:[VibrationMotor]],MATCH($A56,midL1[[Product Name]:[Product Name]],0),G$52)&gt;0,INDEX(ShippCost[[Min]:[Min]],MATCH(G$53,ShippCost[[Resource/State]:[Resource/State]],0),1),0)</f>
        <v>70000</v>
      </c>
      <c r="H56" s="102">
        <f>IF(INDEX(midL1[[aluminium]:[VibrationMotor]],MATCH($A56,midL1[[Product Name]:[Product Name]],0),H$52)&gt;0,INDEX(ShippCost[[Min]:[Min]],MATCH(H$53,ShippCost[[Resource/State]:[Resource/State]],0),1),0)</f>
        <v>0</v>
      </c>
      <c r="I56" s="102">
        <f>IF(INDEX(midL1[[aluminium]:[VibrationMotor]],MATCH($A56,midL1[[Product Name]:[Product Name]],0),I$52)&gt;0,INDEX(ShippCost[[Min]:[Min]],MATCH(I$53,ShippCost[[Resource/State]:[Resource/State]],0),1),0)</f>
        <v>0</v>
      </c>
      <c r="J56" s="102">
        <f>IF(INDEX(midL1[[aluminium]:[VibrationMotor]],MATCH($A56,midL1[[Product Name]:[Product Name]],0),J$52)&gt;0,INDEX(ShippCost[[Min]:[Min]],MATCH(J$53,ShippCost[[Resource/State]:[Resource/State]],0),1),0)</f>
        <v>0</v>
      </c>
      <c r="K56" s="102">
        <f>IF(INDEX(midL1[[aluminium]:[VibrationMotor]],MATCH($A56,midL1[[Product Name]:[Product Name]],0),K$52)&gt;0,INDEX(ShippCost[[Min]:[Min]],MATCH(K$53,ShippCost[[Resource/State]:[Resource/State]],0),1),0)</f>
        <v>0</v>
      </c>
      <c r="L56" s="102">
        <f>IF(INDEX(midL1[[aluminium]:[VibrationMotor]],MATCH($A56,midL1[[Product Name]:[Product Name]],0),L$52)&gt;0,INDEX(ShippCost[[Min]:[Min]],MATCH(L$53,ShippCost[[Resource/State]:[Resource/State]],0),1),0)</f>
        <v>0</v>
      </c>
      <c r="M56" s="102">
        <f>IF(INDEX(midL1[[aluminium]:[VibrationMotor]],MATCH($A56,midL1[[Product Name]:[Product Name]],0),M$52)&gt;0,INDEX(ShippCost[[Min]:[Min]],MATCH(M$53,ShippCost[[Resource/State]:[Resource/State]],0),1),0)</f>
        <v>0</v>
      </c>
      <c r="N56" s="102">
        <f>IF(INDEX(midL1[[aluminium]:[VibrationMotor]],MATCH($A56,midL1[[Product Name]:[Product Name]],0),N$52)&gt;0,INDEX(ShippCost[[Min]:[Min]],MATCH(N$53,ShippCost[[Resource/State]:[Resource/State]],0),1),0)</f>
        <v>0</v>
      </c>
      <c r="O56" s="102">
        <f>SUM(PrShipCost_tbl[[#This Row],[aluminium]:[VibrationMotor]])</f>
        <v>140000</v>
      </c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x14ac:dyDescent="0.3">
      <c r="A57" t="s">
        <v>91</v>
      </c>
      <c r="B57" s="102">
        <f>IF(INDEX(midL1[[aluminium]:[VibrationMotor]],MATCH($A57,midL1[[Product Name]:[Product Name]],0),B$52)&gt;0,INDEX(ShippCost[[Min]:[Min]],MATCH(B$53,ShippCost[[Resource/State]:[Resource/State]],0),1),0)</f>
        <v>70000</v>
      </c>
      <c r="C57" s="102">
        <f>IF(INDEX(midL1[[aluminium]:[VibrationMotor]],MATCH($A57,midL1[[Product Name]:[Product Name]],0),C$52)&gt;0,INDEX(ShippCost[[Min]:[Min]],MATCH(C$53,ShippCost[[Resource/State]:[Resource/State]],0),1),0)</f>
        <v>0</v>
      </c>
      <c r="D57" s="102">
        <f>IF(INDEX(midL1[[aluminium]:[VibrationMotor]],MATCH($A57,midL1[[Product Name]:[Product Name]],0),D$52)&gt;0,INDEX(ShippCost[[Min]:[Min]],MATCH(D$53,ShippCost[[Resource/State]:[Resource/State]],0),1),0)</f>
        <v>0</v>
      </c>
      <c r="E57" s="102">
        <f>IF(INDEX(midL1[[aluminium]:[VibrationMotor]],MATCH($A57,midL1[[Product Name]:[Product Name]],0),E$52)&gt;0,INDEX(ShippCost[[Min]:[Min]],MATCH(E$53,ShippCost[[Resource/State]:[Resource/State]],0),1),0)</f>
        <v>0</v>
      </c>
      <c r="F57" s="102">
        <f>IF(INDEX(midL1[[aluminium]:[VibrationMotor]],MATCH($A57,midL1[[Product Name]:[Product Name]],0),F$52)&gt;0,INDEX(ShippCost[[Min]:[Min]],MATCH(F$53,ShippCost[[Resource/State]:[Resource/State]],0),1),0)</f>
        <v>0</v>
      </c>
      <c r="G57" s="102">
        <f>IF(INDEX(midL1[[aluminium]:[VibrationMotor]],MATCH($A57,midL1[[Product Name]:[Product Name]],0),G$52)&gt;0,INDEX(ShippCost[[Min]:[Min]],MATCH(G$53,ShippCost[[Resource/State]:[Resource/State]],0),1),0)</f>
        <v>0</v>
      </c>
      <c r="H57" s="102">
        <f>IF(INDEX(midL1[[aluminium]:[VibrationMotor]],MATCH($A57,midL1[[Product Name]:[Product Name]],0),H$52)&gt;0,INDEX(ShippCost[[Min]:[Min]],MATCH(H$53,ShippCost[[Resource/State]:[Resource/State]],0),1),0)</f>
        <v>0</v>
      </c>
      <c r="I57" s="102">
        <f>IF(INDEX(midL1[[aluminium]:[VibrationMotor]],MATCH($A57,midL1[[Product Name]:[Product Name]],0),I$52)&gt;0,INDEX(ShippCost[[Min]:[Min]],MATCH(I$53,ShippCost[[Resource/State]:[Resource/State]],0),1),0)</f>
        <v>458844.44190447161</v>
      </c>
      <c r="J57" s="102">
        <f>IF(INDEX(midL1[[aluminium]:[VibrationMotor]],MATCH($A57,midL1[[Product Name]:[Product Name]],0),J$52)&gt;0,INDEX(ShippCost[[Min]:[Min]],MATCH(J$53,ShippCost[[Resource/State]:[Resource/State]],0),1),0)</f>
        <v>0</v>
      </c>
      <c r="K57" s="102">
        <f>IF(INDEX(midL1[[aluminium]:[VibrationMotor]],MATCH($A57,midL1[[Product Name]:[Product Name]],0),K$52)&gt;0,INDEX(ShippCost[[Min]:[Min]],MATCH(K$53,ShippCost[[Resource/State]:[Resource/State]],0),1),0)</f>
        <v>0</v>
      </c>
      <c r="L57" s="102">
        <f>IF(INDEX(midL1[[aluminium]:[VibrationMotor]],MATCH($A57,midL1[[Product Name]:[Product Name]],0),L$52)&gt;0,INDEX(ShippCost[[Min]:[Min]],MATCH(L$53,ShippCost[[Resource/State]:[Resource/State]],0),1),0)</f>
        <v>0</v>
      </c>
      <c r="M57" s="102">
        <f>IF(INDEX(midL1[[aluminium]:[VibrationMotor]],MATCH($A57,midL1[[Product Name]:[Product Name]],0),M$52)&gt;0,INDEX(ShippCost[[Min]:[Min]],MATCH(M$53,ShippCost[[Resource/State]:[Resource/State]],0),1),0)</f>
        <v>0</v>
      </c>
      <c r="N57" s="102">
        <f>IF(INDEX(midL1[[aluminium]:[VibrationMotor]],MATCH($A57,midL1[[Product Name]:[Product Name]],0),N$52)&gt;0,INDEX(ShippCost[[Min]:[Min]],MATCH(N$53,ShippCost[[Resource/State]:[Resource/State]],0),1),0)</f>
        <v>0</v>
      </c>
      <c r="O57" s="102">
        <f>SUM(PrShipCost_tbl[[#This Row],[aluminium]:[VibrationMotor]])</f>
        <v>528844.44190447161</v>
      </c>
      <c r="P57" s="99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x14ac:dyDescent="0.3">
      <c r="A58" t="s">
        <v>92</v>
      </c>
      <c r="B58" s="102">
        <f>IF(INDEX(midL1[[aluminium]:[VibrationMotor]],MATCH($A58,midL1[[Product Name]:[Product Name]],0),B$52)&gt;0,INDEX(ShippCost[[Min]:[Min]],MATCH(B$53,ShippCost[[Resource/State]:[Resource/State]],0),1),0)</f>
        <v>0</v>
      </c>
      <c r="C58" s="102">
        <f>IF(INDEX(midL1[[aluminium]:[VibrationMotor]],MATCH($A58,midL1[[Product Name]:[Product Name]],0),C$52)&gt;0,INDEX(ShippCost[[Min]:[Min]],MATCH(C$53,ShippCost[[Resource/State]:[Resource/State]],0),1),0)</f>
        <v>0</v>
      </c>
      <c r="D58" s="102">
        <f>IF(INDEX(midL1[[aluminium]:[VibrationMotor]],MATCH($A58,midL1[[Product Name]:[Product Name]],0),D$52)&gt;0,INDEX(ShippCost[[Min]:[Min]],MATCH(D$53,ShippCost[[Resource/State]:[Resource/State]],0),1),0)</f>
        <v>0</v>
      </c>
      <c r="E58" s="102">
        <f>IF(INDEX(midL1[[aluminium]:[VibrationMotor]],MATCH($A58,midL1[[Product Name]:[Product Name]],0),E$52)&gt;0,INDEX(ShippCost[[Min]:[Min]],MATCH(E$53,ShippCost[[Resource/State]:[Resource/State]],0),1),0)</f>
        <v>161651.51389911681</v>
      </c>
      <c r="F58" s="102">
        <f>IF(INDEX(midL1[[aluminium]:[VibrationMotor]],MATCH($A58,midL1[[Product Name]:[Product Name]],0),F$52)&gt;0,INDEX(ShippCost[[Min]:[Min]],MATCH(F$53,ShippCost[[Resource/State]:[Resource/State]],0),1),0)</f>
        <v>70000</v>
      </c>
      <c r="G58" s="102">
        <f>IF(INDEX(midL1[[aluminium]:[VibrationMotor]],MATCH($A58,midL1[[Product Name]:[Product Name]],0),G$52)&gt;0,INDEX(ShippCost[[Min]:[Min]],MATCH(G$53,ShippCost[[Resource/State]:[Resource/State]],0),1),0)</f>
        <v>0</v>
      </c>
      <c r="H58" s="102">
        <f>IF(INDEX(midL1[[aluminium]:[VibrationMotor]],MATCH($A58,midL1[[Product Name]:[Product Name]],0),H$52)&gt;0,INDEX(ShippCost[[Min]:[Min]],MATCH(H$53,ShippCost[[Resource/State]:[Resource/State]],0),1),0)</f>
        <v>0</v>
      </c>
      <c r="I58" s="102">
        <f>IF(INDEX(midL1[[aluminium]:[VibrationMotor]],MATCH($A58,midL1[[Product Name]:[Product Name]],0),I$52)&gt;0,INDEX(ShippCost[[Min]:[Min]],MATCH(I$53,ShippCost[[Resource/State]:[Resource/State]],0),1),0)</f>
        <v>458844.44190447161</v>
      </c>
      <c r="J58" s="102">
        <f>IF(INDEX(midL1[[aluminium]:[VibrationMotor]],MATCH($A58,midL1[[Product Name]:[Product Name]],0),J$52)&gt;0,INDEX(ShippCost[[Min]:[Min]],MATCH(J$53,ShippCost[[Resource/State]:[Resource/State]],0),1),0)</f>
        <v>0</v>
      </c>
      <c r="K58" s="102">
        <f>IF(INDEX(midL1[[aluminium]:[VibrationMotor]],MATCH($A58,midL1[[Product Name]:[Product Name]],0),K$52)&gt;0,INDEX(ShippCost[[Min]:[Min]],MATCH(K$53,ShippCost[[Resource/State]:[Resource/State]],0),1),0)</f>
        <v>0</v>
      </c>
      <c r="L58" s="102">
        <f>IF(INDEX(midL1[[aluminium]:[VibrationMotor]],MATCH($A58,midL1[[Product Name]:[Product Name]],0),L$52)&gt;0,INDEX(ShippCost[[Min]:[Min]],MATCH(L$53,ShippCost[[Resource/State]:[Resource/State]],0),1),0)</f>
        <v>0</v>
      </c>
      <c r="M58" s="102">
        <f>IF(INDEX(midL1[[aluminium]:[VibrationMotor]],MATCH($A58,midL1[[Product Name]:[Product Name]],0),M$52)&gt;0,INDEX(ShippCost[[Min]:[Min]],MATCH(M$53,ShippCost[[Resource/State]:[Resource/State]],0),1),0)</f>
        <v>0</v>
      </c>
      <c r="N58" s="102">
        <f>IF(INDEX(midL1[[aluminium]:[VibrationMotor]],MATCH($A58,midL1[[Product Name]:[Product Name]],0),N$52)&gt;0,INDEX(ShippCost[[Min]:[Min]],MATCH(N$53,ShippCost[[Resource/State]:[Resource/State]],0),1),0)</f>
        <v>0</v>
      </c>
      <c r="O58" s="102">
        <f>SUM(PrShipCost_tbl[[#This Row],[aluminium]:[VibrationMotor]])</f>
        <v>690495.95580358838</v>
      </c>
      <c r="P58" s="99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x14ac:dyDescent="0.3">
      <c r="A59" t="s">
        <v>93</v>
      </c>
      <c r="B59" s="102">
        <f>IF(INDEX(midL1[[aluminium]:[VibrationMotor]],MATCH($A59,midL1[[Product Name]:[Product Name]],0),B$52)&gt;0,INDEX(ShippCost[[Min]:[Min]],MATCH(B$53,ShippCost[[Resource/State]:[Resource/State]],0),1),0)</f>
        <v>70000</v>
      </c>
      <c r="C59" s="102">
        <f>IF(INDEX(midL1[[aluminium]:[VibrationMotor]],MATCH($A59,midL1[[Product Name]:[Product Name]],0),C$52)&gt;0,INDEX(ShippCost[[Min]:[Min]],MATCH(C$53,ShippCost[[Resource/State]:[Resource/State]],0),1),0)</f>
        <v>0</v>
      </c>
      <c r="D59" s="102">
        <f>IF(INDEX(midL1[[aluminium]:[VibrationMotor]],MATCH($A59,midL1[[Product Name]:[Product Name]],0),D$52)&gt;0,INDEX(ShippCost[[Min]:[Min]],MATCH(D$53,ShippCost[[Resource/State]:[Resource/State]],0),1),0)</f>
        <v>0</v>
      </c>
      <c r="E59" s="102">
        <f>IF(INDEX(midL1[[aluminium]:[VibrationMotor]],MATCH($A59,midL1[[Product Name]:[Product Name]],0),E$52)&gt;0,INDEX(ShippCost[[Min]:[Min]],MATCH(E$53,ShippCost[[Resource/State]:[Resource/State]],0),1),0)</f>
        <v>161651.51389911681</v>
      </c>
      <c r="F59" s="102">
        <f>IF(INDEX(midL1[[aluminium]:[VibrationMotor]],MATCH($A59,midL1[[Product Name]:[Product Name]],0),F$52)&gt;0,INDEX(ShippCost[[Min]:[Min]],MATCH(F$53,ShippCost[[Resource/State]:[Resource/State]],0),1),0)</f>
        <v>0</v>
      </c>
      <c r="G59" s="102">
        <f>IF(INDEX(midL1[[aluminium]:[VibrationMotor]],MATCH($A59,midL1[[Product Name]:[Product Name]],0),G$52)&gt;0,INDEX(ShippCost[[Min]:[Min]],MATCH(G$53,ShippCost[[Resource/State]:[Resource/State]],0),1),0)</f>
        <v>0</v>
      </c>
      <c r="H59" s="102">
        <f>IF(INDEX(midL1[[aluminium]:[VibrationMotor]],MATCH($A59,midL1[[Product Name]:[Product Name]],0),H$52)&gt;0,INDEX(ShippCost[[Min]:[Min]],MATCH(H$53,ShippCost[[Resource/State]:[Resource/State]],0),1),0)</f>
        <v>0</v>
      </c>
      <c r="I59" s="102">
        <f>IF(INDEX(midL1[[aluminium]:[VibrationMotor]],MATCH($A59,midL1[[Product Name]:[Product Name]],0),I$52)&gt;0,INDEX(ShippCost[[Min]:[Min]],MATCH(I$53,ShippCost[[Resource/State]:[Resource/State]],0),1),0)</f>
        <v>458844.44190447161</v>
      </c>
      <c r="J59" s="102">
        <f>IF(INDEX(midL1[[aluminium]:[VibrationMotor]],MATCH($A59,midL1[[Product Name]:[Product Name]],0),J$52)&gt;0,INDEX(ShippCost[[Min]:[Min]],MATCH(J$53,ShippCost[[Resource/State]:[Resource/State]],0),1),0)</f>
        <v>0</v>
      </c>
      <c r="K59" s="102">
        <f>IF(INDEX(midL1[[aluminium]:[VibrationMotor]],MATCH($A59,midL1[[Product Name]:[Product Name]],0),K$52)&gt;0,INDEX(ShippCost[[Min]:[Min]],MATCH(K$53,ShippCost[[Resource/State]:[Resource/State]],0),1),0)</f>
        <v>0</v>
      </c>
      <c r="L59" s="102">
        <f>IF(INDEX(midL1[[aluminium]:[VibrationMotor]],MATCH($A59,midL1[[Product Name]:[Product Name]],0),L$52)&gt;0,INDEX(ShippCost[[Min]:[Min]],MATCH(L$53,ShippCost[[Resource/State]:[Resource/State]],0),1),0)</f>
        <v>0</v>
      </c>
      <c r="M59" s="102">
        <f>IF(INDEX(midL1[[aluminium]:[VibrationMotor]],MATCH($A59,midL1[[Product Name]:[Product Name]],0),M$52)&gt;0,INDEX(ShippCost[[Min]:[Min]],MATCH(M$53,ShippCost[[Resource/State]:[Resource/State]],0),1),0)</f>
        <v>0</v>
      </c>
      <c r="N59" s="102">
        <f>IF(INDEX(midL1[[aluminium]:[VibrationMotor]],MATCH($A59,midL1[[Product Name]:[Product Name]],0),N$52)&gt;0,INDEX(ShippCost[[Min]:[Min]],MATCH(N$53,ShippCost[[Resource/State]:[Resource/State]],0),1),0)</f>
        <v>0</v>
      </c>
      <c r="O59" s="102">
        <f>SUM(PrShipCost_tbl[[#This Row],[aluminium]:[VibrationMotor]])</f>
        <v>690495.95580358838</v>
      </c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x14ac:dyDescent="0.3">
      <c r="A60" t="s">
        <v>94</v>
      </c>
      <c r="B60" s="102">
        <f>IF(INDEX(midL1[[aluminium]:[VibrationMotor]],MATCH($A60,midL1[[Product Name]:[Product Name]],0),B$52)&gt;0,INDEX(ShippCost[[Min]:[Min]],MATCH(B$53,ShippCost[[Resource/State]:[Resource/State]],0),1),0)</f>
        <v>70000</v>
      </c>
      <c r="C60" s="102">
        <f>IF(INDEX(midL1[[aluminium]:[VibrationMotor]],MATCH($A60,midL1[[Product Name]:[Product Name]],0),C$52)&gt;0,INDEX(ShippCost[[Min]:[Min]],MATCH(C$53,ShippCost[[Resource/State]:[Resource/State]],0),1),0)</f>
        <v>0</v>
      </c>
      <c r="D60" s="102">
        <f>IF(INDEX(midL1[[aluminium]:[VibrationMotor]],MATCH($A60,midL1[[Product Name]:[Product Name]],0),D$52)&gt;0,INDEX(ShippCost[[Min]:[Min]],MATCH(D$53,ShippCost[[Resource/State]:[Resource/State]],0),1),0)</f>
        <v>0</v>
      </c>
      <c r="E60" s="102">
        <f>IF(INDEX(midL1[[aluminium]:[VibrationMotor]],MATCH($A60,midL1[[Product Name]:[Product Name]],0),E$52)&gt;0,INDEX(ShippCost[[Min]:[Min]],MATCH(E$53,ShippCost[[Resource/State]:[Resource/State]],0),1),0)</f>
        <v>0</v>
      </c>
      <c r="F60" s="102">
        <f>IF(INDEX(midL1[[aluminium]:[VibrationMotor]],MATCH($A60,midL1[[Product Name]:[Product Name]],0),F$52)&gt;0,INDEX(ShippCost[[Min]:[Min]],MATCH(F$53,ShippCost[[Resource/State]:[Resource/State]],0),1),0)</f>
        <v>0</v>
      </c>
      <c r="G60" s="102">
        <f>IF(INDEX(midL1[[aluminium]:[VibrationMotor]],MATCH($A60,midL1[[Product Name]:[Product Name]],0),G$52)&gt;0,INDEX(ShippCost[[Min]:[Min]],MATCH(G$53,ShippCost[[Resource/State]:[Resource/State]],0),1),0)</f>
        <v>0</v>
      </c>
      <c r="H60" s="102">
        <f>IF(INDEX(midL1[[aluminium]:[VibrationMotor]],MATCH($A60,midL1[[Product Name]:[Product Name]],0),H$52)&gt;0,INDEX(ShippCost[[Min]:[Min]],MATCH(H$53,ShippCost[[Resource/State]:[Resource/State]],0),1),0)</f>
        <v>0</v>
      </c>
      <c r="I60" s="102">
        <f>IF(INDEX(midL1[[aluminium]:[VibrationMotor]],MATCH($A60,midL1[[Product Name]:[Product Name]],0),I$52)&gt;0,INDEX(ShippCost[[Min]:[Min]],MATCH(I$53,ShippCost[[Resource/State]:[Resource/State]],0),1),0)</f>
        <v>458844.44190447161</v>
      </c>
      <c r="J60" s="102">
        <f>IF(INDEX(midL1[[aluminium]:[VibrationMotor]],MATCH($A60,midL1[[Product Name]:[Product Name]],0),J$52)&gt;0,INDEX(ShippCost[[Min]:[Min]],MATCH(J$53,ShippCost[[Resource/State]:[Resource/State]],0),1),0)</f>
        <v>0</v>
      </c>
      <c r="K60" s="102">
        <f>IF(INDEX(midL1[[aluminium]:[VibrationMotor]],MATCH($A60,midL1[[Product Name]:[Product Name]],0),K$52)&gt;0,INDEX(ShippCost[[Min]:[Min]],MATCH(K$53,ShippCost[[Resource/State]:[Resource/State]],0),1),0)</f>
        <v>0</v>
      </c>
      <c r="L60" s="102">
        <f>IF(INDEX(midL1[[aluminium]:[VibrationMotor]],MATCH($A60,midL1[[Product Name]:[Product Name]],0),L$52)&gt;0,INDEX(ShippCost[[Min]:[Min]],MATCH(L$53,ShippCost[[Resource/State]:[Resource/State]],0),1),0)</f>
        <v>0</v>
      </c>
      <c r="M60" s="102">
        <f>IF(INDEX(midL1[[aluminium]:[VibrationMotor]],MATCH($A60,midL1[[Product Name]:[Product Name]],0),M$52)&gt;0,INDEX(ShippCost[[Min]:[Min]],MATCH(M$53,ShippCost[[Resource/State]:[Resource/State]],0),1),0)</f>
        <v>0</v>
      </c>
      <c r="N60" s="102">
        <f>IF(INDEX(midL1[[aluminium]:[VibrationMotor]],MATCH($A60,midL1[[Product Name]:[Product Name]],0),N$52)&gt;0,INDEX(ShippCost[[Min]:[Min]],MATCH(N$53,ShippCost[[Resource/State]:[Resource/State]],0),1),0)</f>
        <v>0</v>
      </c>
      <c r="O60" s="102">
        <f>SUM(PrShipCost_tbl[[#This Row],[aluminium]:[VibrationMotor]])</f>
        <v>528844.44190447161</v>
      </c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x14ac:dyDescent="0.3">
      <c r="A61" t="s">
        <v>95</v>
      </c>
      <c r="B61" s="102">
        <f>IF(INDEX(midL1[[aluminium]:[VibrationMotor]],MATCH($A61,midL1[[Product Name]:[Product Name]],0),B$52)&gt;0,INDEX(ShippCost[[Min]:[Min]],MATCH(B$53,ShippCost[[Resource/State]:[Resource/State]],0),1),0)</f>
        <v>70000</v>
      </c>
      <c r="C61" s="102">
        <f>IF(INDEX(midL1[[aluminium]:[VibrationMotor]],MATCH($A61,midL1[[Product Name]:[Product Name]],0),C$52)&gt;0,INDEX(ShippCost[[Min]:[Min]],MATCH(C$53,ShippCost[[Resource/State]:[Resource/State]],0),1),0)</f>
        <v>0</v>
      </c>
      <c r="D61" s="102">
        <f>IF(INDEX(midL1[[aluminium]:[VibrationMotor]],MATCH($A61,midL1[[Product Name]:[Product Name]],0),D$52)&gt;0,INDEX(ShippCost[[Min]:[Min]],MATCH(D$53,ShippCost[[Resource/State]:[Resource/State]],0),1),0)</f>
        <v>0</v>
      </c>
      <c r="E61" s="102">
        <f>IF(INDEX(midL1[[aluminium]:[VibrationMotor]],MATCH($A61,midL1[[Product Name]:[Product Name]],0),E$52)&gt;0,INDEX(ShippCost[[Min]:[Min]],MATCH(E$53,ShippCost[[Resource/State]:[Resource/State]],0),1),0)</f>
        <v>0</v>
      </c>
      <c r="F61" s="102">
        <f>IF(INDEX(midL1[[aluminium]:[VibrationMotor]],MATCH($A61,midL1[[Product Name]:[Product Name]],0),F$52)&gt;0,INDEX(ShippCost[[Min]:[Min]],MATCH(F$53,ShippCost[[Resource/State]:[Resource/State]],0),1),0)</f>
        <v>70000</v>
      </c>
      <c r="G61" s="102">
        <f>IF(INDEX(midL1[[aluminium]:[VibrationMotor]],MATCH($A61,midL1[[Product Name]:[Product Name]],0),G$52)&gt;0,INDEX(ShippCost[[Min]:[Min]],MATCH(G$53,ShippCost[[Resource/State]:[Resource/State]],0),1),0)</f>
        <v>0</v>
      </c>
      <c r="H61" s="102">
        <f>IF(INDEX(midL1[[aluminium]:[VibrationMotor]],MATCH($A61,midL1[[Product Name]:[Product Name]],0),H$52)&gt;0,INDEX(ShippCost[[Min]:[Min]],MATCH(H$53,ShippCost[[Resource/State]:[Resource/State]],0),1),0)</f>
        <v>0</v>
      </c>
      <c r="I61" s="102">
        <f>IF(INDEX(midL1[[aluminium]:[VibrationMotor]],MATCH($A61,midL1[[Product Name]:[Product Name]],0),I$52)&gt;0,INDEX(ShippCost[[Min]:[Min]],MATCH(I$53,ShippCost[[Resource/State]:[Resource/State]],0),1),0)</f>
        <v>0</v>
      </c>
      <c r="J61" s="102">
        <f>IF(INDEX(midL1[[aluminium]:[VibrationMotor]],MATCH($A61,midL1[[Product Name]:[Product Name]],0),J$52)&gt;0,INDEX(ShippCost[[Min]:[Min]],MATCH(J$53,ShippCost[[Resource/State]:[Resource/State]],0),1),0)</f>
        <v>0</v>
      </c>
      <c r="K61" s="102">
        <f>IF(INDEX(midL1[[aluminium]:[VibrationMotor]],MATCH($A61,midL1[[Product Name]:[Product Name]],0),K$52)&gt;0,INDEX(ShippCost[[Min]:[Min]],MATCH(K$53,ShippCost[[Resource/State]:[Resource/State]],0),1),0)</f>
        <v>0</v>
      </c>
      <c r="L61" s="102">
        <f>IF(INDEX(midL1[[aluminium]:[VibrationMotor]],MATCH($A61,midL1[[Product Name]:[Product Name]],0),L$52)&gt;0,INDEX(ShippCost[[Min]:[Min]],MATCH(L$53,ShippCost[[Resource/State]:[Resource/State]],0),1),0)</f>
        <v>70000</v>
      </c>
      <c r="M61" s="102">
        <f>IF(INDEX(midL1[[aluminium]:[VibrationMotor]],MATCH($A61,midL1[[Product Name]:[Product Name]],0),M$52)&gt;0,INDEX(ShippCost[[Min]:[Min]],MATCH(M$53,ShippCost[[Resource/State]:[Resource/State]],0),1),0)</f>
        <v>0</v>
      </c>
      <c r="N61" s="102">
        <f>IF(INDEX(midL1[[aluminium]:[VibrationMotor]],MATCH($A61,midL1[[Product Name]:[Product Name]],0),N$52)&gt;0,INDEX(ShippCost[[Min]:[Min]],MATCH(N$53,ShippCost[[Resource/State]:[Resource/State]],0),1),0)</f>
        <v>0</v>
      </c>
      <c r="O61" s="102">
        <f>SUM(PrShipCost_tbl[[#This Row],[aluminium]:[VibrationMotor]])</f>
        <v>210000</v>
      </c>
    </row>
    <row r="62" spans="1:27" x14ac:dyDescent="0.3"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</row>
    <row r="63" spans="1:27" x14ac:dyDescent="0.3"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</row>
    <row r="64" spans="1:27" x14ac:dyDescent="0.3">
      <c r="A64" s="119" t="s">
        <v>131</v>
      </c>
    </row>
    <row r="66" spans="1:30" x14ac:dyDescent="0.3">
      <c r="A66" t="s">
        <v>2</v>
      </c>
      <c r="B66" t="s">
        <v>116</v>
      </c>
      <c r="C66" t="s">
        <v>13</v>
      </c>
      <c r="D66" t="s">
        <v>15</v>
      </c>
      <c r="E66" t="s">
        <v>17</v>
      </c>
      <c r="F66" t="s">
        <v>19</v>
      </c>
      <c r="G66" t="s">
        <v>21</v>
      </c>
      <c r="H66" t="s">
        <v>23</v>
      </c>
      <c r="I66" t="s">
        <v>25</v>
      </c>
      <c r="J66" t="s">
        <v>27</v>
      </c>
      <c r="K66" t="s">
        <v>29</v>
      </c>
      <c r="L66" t="s">
        <v>31</v>
      </c>
      <c r="M66" t="s">
        <v>33</v>
      </c>
      <c r="N66" t="s">
        <v>179</v>
      </c>
    </row>
    <row r="67" spans="1:30" x14ac:dyDescent="0.3">
      <c r="A67" t="s">
        <v>88</v>
      </c>
      <c r="B67" s="102">
        <f>INDEX(midL1[[aluminium]:[VibrationMotor]],MATCH(PrMatAmt[[Product Name]:[Product Name]],midL1[[Product Name]:[Product Name]],0),MATCH(PrMatAmt[[#Headers],[aluminium]],midL1[[#Headers],[aluminium]:[VibrationMotor]],0))*$Q$2</f>
        <v>630000</v>
      </c>
      <c r="C67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67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67" s="102">
        <f>INDEX(midL1[[aluminium]:[VibrationMotor]],MATCH(PrMatAmt[[Product Name]:[Product Name]],midL1[[Product Name]:[Product Name]],0),MATCH(PrMatAmt[[#Headers],[copper]],midL1[[#Headers],[aluminium]:[VibrationMotor]],0))*$Q$2</f>
        <v>420000</v>
      </c>
      <c r="F67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67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67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67" s="102">
        <f>INDEX(midL1[[aluminium]:[VibrationMotor]],MATCH(PrMatAmt[[Product Name]:[Product Name]],midL1[[Product Name]:[Product Name]],0),MATCH(PrMatAmt[[#Headers],[plastic]],midL1[[#Headers],[aluminium]:[VibrationMotor]],0))*$Q$2</f>
        <v>1260000</v>
      </c>
      <c r="J67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67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67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67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67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68" spans="1:30" x14ac:dyDescent="0.3">
      <c r="A68" t="s">
        <v>89</v>
      </c>
      <c r="B68" s="102">
        <f>INDEX(midL1[[aluminium]:[VibrationMotor]],MATCH(PrMatAmt[[Product Name]:[Product Name]],midL1[[Product Name]:[Product Name]],0),MATCH(PrMatAmt[[#Headers],[aluminium]],midL1[[#Headers],[aluminium]:[VibrationMotor]],0))*$Q$2</f>
        <v>1260000</v>
      </c>
      <c r="C68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68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68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68" s="102">
        <f>INDEX(midL1[[aluminium]:[VibrationMotor]],MATCH(PrMatAmt[[Product Name]:[Product Name]],midL1[[Product Name]:[Product Name]],0),MATCH(PrMatAmt[[#Headers],[glass]],midL1[[#Headers],[aluminium]:[VibrationMotor]],0))*$Q$2</f>
        <v>6300000</v>
      </c>
      <c r="G68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68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68" s="102">
        <f>INDEX(midL1[[aluminium]:[VibrationMotor]],MATCH(PrMatAmt[[Product Name]:[Product Name]],midL1[[Product Name]:[Product Name]],0),MATCH(PrMatAmt[[#Headers],[plastic]],midL1[[#Headers],[aluminium]:[VibrationMotor]],0))*$Q$2</f>
        <v>0</v>
      </c>
      <c r="J68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68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68" s="102">
        <f>INDEX(midL1[[aluminium]:[VibrationMotor]],MATCH(PrMatAmt[[Product Name]:[Product Name]],midL1[[Product Name]:[Product Name]],0),MATCH(PrMatAmt[[#Headers],[silicon]],midL1[[#Headers],[aluminium]:[VibrationMotor]],0))*$Q$2</f>
        <v>2100000</v>
      </c>
      <c r="M68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68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69" spans="1:30" x14ac:dyDescent="0.3">
      <c r="A69" t="s">
        <v>90</v>
      </c>
      <c r="B69" s="102">
        <f>INDEX(midL1[[aluminium]:[VibrationMotor]],MATCH(PrMatAmt[[Product Name]:[Product Name]],midL1[[Product Name]:[Product Name]],0),MATCH(PrMatAmt[[#Headers],[aluminium]],midL1[[#Headers],[aluminium]:[VibrationMotor]],0))*$Q$2</f>
        <v>0</v>
      </c>
      <c r="C69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69" s="102">
        <f>INDEX(midL1[[aluminium]:[VibrationMotor]],MATCH(PrMatAmt[[Product Name]:[Product Name]],midL1[[Product Name]:[Product Name]],0),MATCH(PrMatAmt[[#Headers],[cobalt]],midL1[[#Headers],[aluminium]:[VibrationMotor]],0))*$Q$2</f>
        <v>756000</v>
      </c>
      <c r="E69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69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69" s="102">
        <f>INDEX(midL1[[aluminium]:[VibrationMotor]],MATCH(PrMatAmt[[Product Name]:[Product Name]],midL1[[Product Name]:[Product Name]],0),MATCH(PrMatAmt[[#Headers],[lithium]],midL1[[#Headers],[aluminium]:[VibrationMotor]],0))*$Q$2</f>
        <v>504000</v>
      </c>
      <c r="H69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69" s="102">
        <f>INDEX(midL1[[aluminium]:[VibrationMotor]],MATCH(PrMatAmt[[Product Name]:[Product Name]],midL1[[Product Name]:[Product Name]],0),MATCH(PrMatAmt[[#Headers],[plastic]],midL1[[#Headers],[aluminium]:[VibrationMotor]],0))*$Q$2</f>
        <v>0</v>
      </c>
      <c r="J69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69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69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69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69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0" spans="1:30" x14ac:dyDescent="0.3">
      <c r="A70" t="s">
        <v>91</v>
      </c>
      <c r="B70" s="102">
        <f>INDEX(midL1[[aluminium]:[VibrationMotor]],MATCH(PrMatAmt[[Product Name]:[Product Name]],midL1[[Product Name]:[Product Name]],0),MATCH(PrMatAmt[[#Headers],[aluminium]],midL1[[#Headers],[aluminium]:[VibrationMotor]],0))*$Q$2</f>
        <v>2940000</v>
      </c>
      <c r="C70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0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0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70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70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0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0" s="102">
        <f>INDEX(midL1[[aluminium]:[VibrationMotor]],MATCH(PrMatAmt[[Product Name]:[Product Name]],midL1[[Product Name]:[Product Name]],0),MATCH(PrMatAmt[[#Headers],[plastic]],midL1[[#Headers],[aluminium]:[VibrationMotor]],0))*$Q$2</f>
        <v>12600000</v>
      </c>
      <c r="J70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0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0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0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0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1" spans="1:30" x14ac:dyDescent="0.3">
      <c r="A71" t="s">
        <v>92</v>
      </c>
      <c r="B71" s="102">
        <f>INDEX(midL1[[aluminium]:[VibrationMotor]],MATCH(PrMatAmt[[Product Name]:[Product Name]],midL1[[Product Name]:[Product Name]],0),MATCH(PrMatAmt[[#Headers],[aluminium]],midL1[[#Headers],[aluminium]:[VibrationMotor]],0))*$Q$2</f>
        <v>0</v>
      </c>
      <c r="C71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1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1" s="102">
        <f>INDEX(midL1[[aluminium]:[VibrationMotor]],MATCH(PrMatAmt[[Product Name]:[Product Name]],midL1[[Product Name]:[Product Name]],0),MATCH(PrMatAmt[[#Headers],[copper]],midL1[[#Headers],[aluminium]:[VibrationMotor]],0))*$Q$2</f>
        <v>840000</v>
      </c>
      <c r="F71" s="102">
        <f>INDEX(midL1[[aluminium]:[VibrationMotor]],MATCH(PrMatAmt[[Product Name]:[Product Name]],midL1[[Product Name]:[Product Name]],0),MATCH(PrMatAmt[[#Headers],[glass]],midL1[[#Headers],[aluminium]:[VibrationMotor]],0))*$Q$2</f>
        <v>1680000</v>
      </c>
      <c r="G71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1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1" s="102">
        <f>INDEX(midL1[[aluminium]:[VibrationMotor]],MATCH(PrMatAmt[[Product Name]:[Product Name]],midL1[[Product Name]:[Product Name]],0),MATCH(PrMatAmt[[#Headers],[plastic]],midL1[[#Headers],[aluminium]:[VibrationMotor]],0))*$Q$2</f>
        <v>3780000</v>
      </c>
      <c r="J71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1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1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1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1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2" spans="1:30" x14ac:dyDescent="0.3">
      <c r="A72" t="s">
        <v>93</v>
      </c>
      <c r="B72" s="102">
        <f>INDEX(midL1[[aluminium]:[VibrationMotor]],MATCH(PrMatAmt[[Product Name]:[Product Name]],midL1[[Product Name]:[Product Name]],0),MATCH(PrMatAmt[[#Headers],[aluminium]],midL1[[#Headers],[aluminium]:[VibrationMotor]],0))*$Q$2</f>
        <v>840000</v>
      </c>
      <c r="C72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2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2" s="102">
        <f>INDEX(midL1[[aluminium]:[VibrationMotor]],MATCH(PrMatAmt[[Product Name]:[Product Name]],midL1[[Product Name]:[Product Name]],0),MATCH(PrMatAmt[[#Headers],[copper]],midL1[[#Headers],[aluminium]:[VibrationMotor]],0))*$Q$2</f>
        <v>630000</v>
      </c>
      <c r="F72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72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2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2" s="102">
        <f>INDEX(midL1[[aluminium]:[VibrationMotor]],MATCH(PrMatAmt[[Product Name]:[Product Name]],midL1[[Product Name]:[Product Name]],0),MATCH(PrMatAmt[[#Headers],[plastic]],midL1[[#Headers],[aluminium]:[VibrationMotor]],0))*$Q$2</f>
        <v>1470000</v>
      </c>
      <c r="J72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2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2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2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2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3" spans="1:30" x14ac:dyDescent="0.3">
      <c r="A73" t="s">
        <v>94</v>
      </c>
      <c r="B73" s="102">
        <f>INDEX(midL1[[aluminium]:[VibrationMotor]],MATCH(PrMatAmt[[Product Name]:[Product Name]],midL1[[Product Name]:[Product Name]],0),MATCH(PrMatAmt[[#Headers],[aluminium]],midL1[[#Headers],[aluminium]:[VibrationMotor]],0))*$Q$2</f>
        <v>2100000</v>
      </c>
      <c r="C73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3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3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73" s="102">
        <f>INDEX(midL1[[aluminium]:[VibrationMotor]],MATCH(PrMatAmt[[Product Name]:[Product Name]],midL1[[Product Name]:[Product Name]],0),MATCH(PrMatAmt[[#Headers],[glass]],midL1[[#Headers],[aluminium]:[VibrationMotor]],0))*$Q$2</f>
        <v>0</v>
      </c>
      <c r="G73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3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3" s="102">
        <f>INDEX(midL1[[aluminium]:[VibrationMotor]],MATCH(PrMatAmt[[Product Name]:[Product Name]],midL1[[Product Name]:[Product Name]],0),MATCH(PrMatAmt[[#Headers],[plastic]],midL1[[#Headers],[aluminium]:[VibrationMotor]],0))*$Q$2</f>
        <v>5040000</v>
      </c>
      <c r="J73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3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3" s="102">
        <f>INDEX(midL1[[aluminium]:[VibrationMotor]],MATCH(PrMatAmt[[Product Name]:[Product Name]],midL1[[Product Name]:[Product Name]],0),MATCH(PrMatAmt[[#Headers],[silicon]],midL1[[#Headers],[aluminium]:[VibrationMotor]],0))*$Q$2</f>
        <v>0</v>
      </c>
      <c r="M73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3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4" spans="1:30" x14ac:dyDescent="0.3">
      <c r="A74" t="s">
        <v>95</v>
      </c>
      <c r="B74" s="102">
        <f>INDEX(midL1[[aluminium]:[VibrationMotor]],MATCH(PrMatAmt[[Product Name]:[Product Name]],midL1[[Product Name]:[Product Name]],0),MATCH(PrMatAmt[[#Headers],[aluminium]],midL1[[#Headers],[aluminium]:[VibrationMotor]],0))*$Q$2</f>
        <v>3780000</v>
      </c>
      <c r="C74" s="102">
        <f>INDEX(midL1[[aluminium]:[VibrationMotor]],MATCH(PrMatAmt[[Product Name]:[Product Name]],midL1[[Product Name]:[Product Name]],0),MATCH(PrMatAmt[[#Headers],[chips]],midL1[[#Headers],[aluminium]:[VibrationMotor]],0))*$Q$2</f>
        <v>0</v>
      </c>
      <c r="D74" s="102">
        <f>INDEX(midL1[[aluminium]:[VibrationMotor]],MATCH(PrMatAmt[[Product Name]:[Product Name]],midL1[[Product Name]:[Product Name]],0),MATCH(PrMatAmt[[#Headers],[cobalt]],midL1[[#Headers],[aluminium]:[VibrationMotor]],0))*$Q$2</f>
        <v>0</v>
      </c>
      <c r="E74" s="102">
        <f>INDEX(midL1[[aluminium]:[VibrationMotor]],MATCH(PrMatAmt[[Product Name]:[Product Name]],midL1[[Product Name]:[Product Name]],0),MATCH(PrMatAmt[[#Headers],[copper]],midL1[[#Headers],[aluminium]:[VibrationMotor]],0))*$Q$2</f>
        <v>0</v>
      </c>
      <c r="F74" s="102">
        <f>INDEX(midL1[[aluminium]:[VibrationMotor]],MATCH(PrMatAmt[[Product Name]:[Product Name]],midL1[[Product Name]:[Product Name]],0),MATCH(PrMatAmt[[#Headers],[glass]],midL1[[#Headers],[aluminium]:[VibrationMotor]],0))*$Q$2</f>
        <v>18900000</v>
      </c>
      <c r="G74" s="102">
        <f>INDEX(midL1[[aluminium]:[VibrationMotor]],MATCH(PrMatAmt[[Product Name]:[Product Name]],midL1[[Product Name]:[Product Name]],0),MATCH(PrMatAmt[[#Headers],[lithium]],midL1[[#Headers],[aluminium]:[VibrationMotor]],0))*$Q$2</f>
        <v>0</v>
      </c>
      <c r="H74" s="102">
        <f>INDEX(midL1[[aluminium]:[VibrationMotor]],MATCH(PrMatAmt[[Product Name]:[Product Name]],midL1[[Product Name]:[Product Name]],0),MATCH(PrMatAmt[[#Headers],[microphone]],midL1[[#Headers],[aluminium]:[VibrationMotor]],0))*$Q$2</f>
        <v>0</v>
      </c>
      <c r="I74" s="102">
        <f>INDEX(midL1[[aluminium]:[VibrationMotor]],MATCH(PrMatAmt[[Product Name]:[Product Name]],midL1[[Product Name]:[Product Name]],0),MATCH(PrMatAmt[[#Headers],[plastic]],midL1[[#Headers],[aluminium]:[VibrationMotor]],0))*$Q$2</f>
        <v>0</v>
      </c>
      <c r="J74" s="102">
        <f>INDEX(midL1[[aluminium]:[VibrationMotor]],MATCH(PrMatAmt[[Product Name]:[Product Name]],midL1[[Product Name]:[Product Name]],0),MATCH(PrMatAmt[[#Headers],[ports]],midL1[[#Headers],[aluminium]:[VibrationMotor]],0))*$Q$2</f>
        <v>0</v>
      </c>
      <c r="K74" s="102">
        <f>INDEX(midL1[[aluminium]:[VibrationMotor]],MATCH(PrMatAmt[[Product Name]:[Product Name]],midL1[[Product Name]:[Product Name]],0),MATCH(PrMatAmt[[#Headers],[processors]],midL1[[#Headers],[aluminium]:[VibrationMotor]],0))*$Q$2</f>
        <v>0</v>
      </c>
      <c r="L74" s="102">
        <f>INDEX(midL1[[aluminium]:[VibrationMotor]],MATCH(PrMatAmt[[Product Name]:[Product Name]],midL1[[Product Name]:[Product Name]],0),MATCH(PrMatAmt[[#Headers],[silicon]],midL1[[#Headers],[aluminium]:[VibrationMotor]],0))*$Q$2</f>
        <v>6720000</v>
      </c>
      <c r="M74" s="102">
        <f>INDEX(midL1[[aluminium]:[VibrationMotor]],MATCH(PrMatAmt[[Product Name]:[Product Name]],midL1[[Product Name]:[Product Name]],0),MATCH(PrMatAmt[[#Headers],[speaker]],midL1[[#Headers],[aluminium]:[VibrationMotor]],0))*$Q$2</f>
        <v>0</v>
      </c>
      <c r="N74" s="102">
        <f>INDEX(midL1[[aluminium]:[VibrationMotor]],MATCH(PrMatAmt[[Product Name]:[Product Name]],midL1[[Product Name]:[Product Name]],0),MATCH(PrMatAmt[[#Headers],[VibrationMotor]],midL1[[#Headers],[aluminium]:[VibrationMotor]],0))*$Q$2</f>
        <v>0</v>
      </c>
    </row>
    <row r="75" spans="1:30" x14ac:dyDescent="0.3"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</row>
    <row r="76" spans="1:30" x14ac:dyDescent="0.3"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</row>
    <row r="77" spans="1:30" x14ac:dyDescent="0.3">
      <c r="A77" s="119" t="s">
        <v>132</v>
      </c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</row>
    <row r="78" spans="1:30" x14ac:dyDescent="0.3"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</row>
    <row r="79" spans="1:30" x14ac:dyDescent="0.3">
      <c r="A79" t="s">
        <v>2</v>
      </c>
      <c r="B79" t="s">
        <v>116</v>
      </c>
      <c r="C79" t="s">
        <v>13</v>
      </c>
      <c r="D79" t="s">
        <v>15</v>
      </c>
      <c r="E79" t="s">
        <v>17</v>
      </c>
      <c r="F79" t="s">
        <v>19</v>
      </c>
      <c r="G79" t="s">
        <v>21</v>
      </c>
      <c r="H79" t="s">
        <v>23</v>
      </c>
      <c r="I79" t="s">
        <v>25</v>
      </c>
      <c r="J79" t="s">
        <v>27</v>
      </c>
      <c r="K79" t="s">
        <v>29</v>
      </c>
      <c r="L79" t="s">
        <v>31</v>
      </c>
      <c r="M79" t="s">
        <v>33</v>
      </c>
      <c r="N79" t="s">
        <v>179</v>
      </c>
      <c r="O79" t="s">
        <v>130</v>
      </c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</row>
    <row r="80" spans="1:30" x14ac:dyDescent="0.3">
      <c r="A80" t="s">
        <v>88</v>
      </c>
      <c r="B80" s="102">
        <f>INDEX(PrMatAmt[[aluminium]:[VibrationMotor]],MATCH($A67,PrShipCost_tbl[[Product Name]:[Product Name]],0),B$52)*INDEX(MatVolPrice[[Product Name]:[Max Price]],MATCH(MatAmtVol[[#Headers],[aluminium]],MatVolPrice[[Product Name]:[Product Name]],0),4)</f>
        <v>1260000</v>
      </c>
      <c r="C80" s="102">
        <f>INDEX(PrMatAmt[[aluminium]:[VibrationMotor]],MATCH($A67,PrShipCost_tbl[[Product Name]:[Product Name]],0),C$52)*INDEX(MatVolPrice[[Product Name]:[Max Price]],MATCH(MatAmtVol[[#Headers],[chips]],MatVolPrice[[Product Name]:[Product Name]],0),4)</f>
        <v>0</v>
      </c>
      <c r="D80" s="102">
        <f>INDEX(PrMatAmt[[aluminium]:[VibrationMotor]],MATCH($A67,PrShipCost_tbl[[Product Name]:[Product Name]],0),D$52)*INDEX(MatVolPrice[[Product Name]:[Max Price]],MATCH(MatAmtVol[[#Headers],[cobalt]],MatVolPrice[[Product Name]:[Product Name]],0),4)</f>
        <v>0</v>
      </c>
      <c r="E80" s="102">
        <f>INDEX(PrMatAmt[[aluminium]:[VibrationMotor]],MATCH($A67,PrShipCost_tbl[[Product Name]:[Product Name]],0),E$52)*INDEX(MatVolPrice[[Product Name]:[Max Price]],MATCH(MatAmtVol[[#Headers],[copper]],MatVolPrice[[Product Name]:[Product Name]],0),4)</f>
        <v>420000</v>
      </c>
      <c r="F80" s="102">
        <f>INDEX(PrMatAmt[[aluminium]:[VibrationMotor]],MATCH($A67,PrShipCost_tbl[[Product Name]:[Product Name]],0),F$52)*INDEX(MatVolPrice[[Product Name]:[Max Price]],MATCH(MatAmtVol[[#Headers],[glass]],MatVolPrice[[Product Name]:[Product Name]],0),4)</f>
        <v>0</v>
      </c>
      <c r="G80" s="102">
        <f>INDEX(PrMatAmt[[aluminium]:[VibrationMotor]],MATCH($A67,PrShipCost_tbl[[Product Name]:[Product Name]],0),G$52)*INDEX(MatVolPrice[[Product Name]:[Max Price]],MATCH(MatAmtVol[[#Headers],[lithium]],MatVolPrice[[Product Name]:[Product Name]],0),4)</f>
        <v>0</v>
      </c>
      <c r="H80" s="102">
        <f>INDEX(PrMatAmt[[aluminium]:[VibrationMotor]],MATCH($A67,PrShipCost_tbl[[Product Name]:[Product Name]],0),H$52)*INDEX(MatVolPrice[[Product Name]:[Max Price]],MATCH(MatAmtVol[[#Headers],[microphone]],MatVolPrice[[Product Name]:[Product Name]],0),4)</f>
        <v>0</v>
      </c>
      <c r="I80" s="102">
        <f>INDEX(PrMatAmt[[aluminium]:[VibrationMotor]],MATCH($A67,PrShipCost_tbl[[Product Name]:[Product Name]],0),I$52)*INDEX(MatVolPrice[[Product Name]:[Max Price]],MATCH(MatAmtVol[[#Headers],[plastic]],MatVolPrice[[Product Name]:[Product Name]],0),4)</f>
        <v>2520000</v>
      </c>
      <c r="J80" s="102">
        <f>INDEX(PrMatAmt[[aluminium]:[VibrationMotor]],MATCH($A67,PrShipCost_tbl[[Product Name]:[Product Name]],0),J$52)*INDEX(MatVolPrice[[Product Name]:[Max Price]],MATCH(MatAmtVol[[#Headers],[ports]],MatVolPrice[[Product Name]:[Product Name]],0),4)</f>
        <v>0</v>
      </c>
      <c r="K80" s="102">
        <f>INDEX(PrMatAmt[[aluminium]:[VibrationMotor]],MATCH($A67,PrShipCost_tbl[[Product Name]:[Product Name]],0),K$52)*INDEX(MatVolPrice[[Product Name]:[Max Price]],MATCH(MatAmtVol[[#Headers],[processors]],MatVolPrice[[Product Name]:[Product Name]],0),4)</f>
        <v>0</v>
      </c>
      <c r="L80" s="102">
        <f>INDEX(PrMatAmt[[aluminium]:[VibrationMotor]],MATCH($A67,PrShipCost_tbl[[Product Name]:[Product Name]],0),L$52)*INDEX(MatVolPrice[[Product Name]:[Max Price]],MATCH(MatAmtVol[[#Headers],[silicon]],MatVolPrice[[Product Name]:[Product Name]],0),4)</f>
        <v>0</v>
      </c>
      <c r="M80" s="102">
        <f>INDEX(PrMatAmt[[aluminium]:[VibrationMotor]],MATCH($A67,PrShipCost_tbl[[Product Name]:[Product Name]],0),M$52)*INDEX(MatVolPrice[[Product Name]:[Max Price]],MATCH(MatAmtVol[[#Headers],[speaker]],MatVolPrice[[Product Name]:[Product Name]],0),4)</f>
        <v>0</v>
      </c>
      <c r="N80" s="102">
        <f>INDEX(PrMatAmt[[aluminium]:[VibrationMotor]],MATCH($A67,PrShipCost_tbl[[Product Name]:[Product Name]],0),N$52)*INDEX(MatVolPrice[[Product Name]:[Max Price]],MATCH(MatAmtVol[[#Headers],[VibrationMotor]],MatVolPrice[[Product Name]:[Product Name]],0),4)</f>
        <v>0</v>
      </c>
      <c r="O80" s="102">
        <f>SUM(MatAmtVol[[#This Row],[aluminium]:[VibrationMotor]])</f>
        <v>4200000</v>
      </c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</row>
    <row r="81" spans="1:30" x14ac:dyDescent="0.3">
      <c r="A81" t="s">
        <v>89</v>
      </c>
      <c r="B81" s="102">
        <f>INDEX(PrMatAmt[[aluminium]:[VibrationMotor]],MATCH($A68,PrShipCost_tbl[[Product Name]:[Product Name]],0),B$52)*INDEX(MatVolPrice[[Product Name]:[Max Price]],MATCH(MatAmtVol[[#Headers],[aluminium]],MatVolPrice[[Product Name]:[Product Name]],0),4)</f>
        <v>2520000</v>
      </c>
      <c r="C81" s="102">
        <f>INDEX(PrMatAmt[[aluminium]:[VibrationMotor]],MATCH($A68,PrShipCost_tbl[[Product Name]:[Product Name]],0),C$52)*INDEX(MatVolPrice[[Product Name]:[Max Price]],MATCH(MatAmtVol[[#Headers],[chips]],MatVolPrice[[Product Name]:[Product Name]],0),4)</f>
        <v>0</v>
      </c>
      <c r="D81" s="102">
        <f>INDEX(PrMatAmt[[aluminium]:[VibrationMotor]],MATCH($A68,PrShipCost_tbl[[Product Name]:[Product Name]],0),D$52)*INDEX(MatVolPrice[[Product Name]:[Max Price]],MATCH(MatAmtVol[[#Headers],[cobalt]],MatVolPrice[[Product Name]:[Product Name]],0),4)</f>
        <v>0</v>
      </c>
      <c r="E81" s="102">
        <f>INDEX(PrMatAmt[[aluminium]:[VibrationMotor]],MATCH($A68,PrShipCost_tbl[[Product Name]:[Product Name]],0),E$52)*INDEX(MatVolPrice[[Product Name]:[Max Price]],MATCH(MatAmtVol[[#Headers],[copper]],MatVolPrice[[Product Name]:[Product Name]],0),4)</f>
        <v>0</v>
      </c>
      <c r="F81" s="102">
        <f>INDEX(PrMatAmt[[aluminium]:[VibrationMotor]],MATCH($A68,PrShipCost_tbl[[Product Name]:[Product Name]],0),F$52)*INDEX(MatVolPrice[[Product Name]:[Max Price]],MATCH(MatAmtVol[[#Headers],[glass]],MatVolPrice[[Product Name]:[Product Name]],0),4)</f>
        <v>12600000</v>
      </c>
      <c r="G81" s="102">
        <f>INDEX(PrMatAmt[[aluminium]:[VibrationMotor]],MATCH($A68,PrShipCost_tbl[[Product Name]:[Product Name]],0),G$52)*INDEX(MatVolPrice[[Product Name]:[Max Price]],MATCH(MatAmtVol[[#Headers],[lithium]],MatVolPrice[[Product Name]:[Product Name]],0),4)</f>
        <v>0</v>
      </c>
      <c r="H81" s="102">
        <f>INDEX(PrMatAmt[[aluminium]:[VibrationMotor]],MATCH($A68,PrShipCost_tbl[[Product Name]:[Product Name]],0),H$52)*INDEX(MatVolPrice[[Product Name]:[Max Price]],MATCH(MatAmtVol[[#Headers],[microphone]],MatVolPrice[[Product Name]:[Product Name]],0),4)</f>
        <v>0</v>
      </c>
      <c r="I81" s="102">
        <f>INDEX(PrMatAmt[[aluminium]:[VibrationMotor]],MATCH($A68,PrShipCost_tbl[[Product Name]:[Product Name]],0),I$52)*INDEX(MatVolPrice[[Product Name]:[Max Price]],MATCH(MatAmtVol[[#Headers],[plastic]],MatVolPrice[[Product Name]:[Product Name]],0),4)</f>
        <v>0</v>
      </c>
      <c r="J81" s="102">
        <f>INDEX(PrMatAmt[[aluminium]:[VibrationMotor]],MATCH($A68,PrShipCost_tbl[[Product Name]:[Product Name]],0),J$52)*INDEX(MatVolPrice[[Product Name]:[Max Price]],MATCH(MatAmtVol[[#Headers],[ports]],MatVolPrice[[Product Name]:[Product Name]],0),4)</f>
        <v>0</v>
      </c>
      <c r="K81" s="102">
        <f>INDEX(PrMatAmt[[aluminium]:[VibrationMotor]],MATCH($A68,PrShipCost_tbl[[Product Name]:[Product Name]],0),K$52)*INDEX(MatVolPrice[[Product Name]:[Max Price]],MATCH(MatAmtVol[[#Headers],[processors]],MatVolPrice[[Product Name]:[Product Name]],0),4)</f>
        <v>0</v>
      </c>
      <c r="L81" s="102">
        <f>INDEX(PrMatAmt[[aluminium]:[VibrationMotor]],MATCH($A68,PrShipCost_tbl[[Product Name]:[Product Name]],0),L$52)*INDEX(MatVolPrice[[Product Name]:[Max Price]],MATCH(MatAmtVol[[#Headers],[silicon]],MatVolPrice[[Product Name]:[Product Name]],0),4)</f>
        <v>2100000</v>
      </c>
      <c r="M81" s="102">
        <f>INDEX(PrMatAmt[[aluminium]:[VibrationMotor]],MATCH($A68,PrShipCost_tbl[[Product Name]:[Product Name]],0),M$52)*INDEX(MatVolPrice[[Product Name]:[Max Price]],MATCH(MatAmtVol[[#Headers],[speaker]],MatVolPrice[[Product Name]:[Product Name]],0),4)</f>
        <v>0</v>
      </c>
      <c r="N81" s="102">
        <f>INDEX(PrMatAmt[[aluminium]:[VibrationMotor]],MATCH($A68,PrShipCost_tbl[[Product Name]:[Product Name]],0),N$52)*INDEX(MatVolPrice[[Product Name]:[Max Price]],MATCH(MatAmtVol[[#Headers],[VibrationMotor]],MatVolPrice[[Product Name]:[Product Name]],0),4)</f>
        <v>0</v>
      </c>
      <c r="O81" s="102">
        <f>SUM(MatAmtVol[[#This Row],[aluminium]:[VibrationMotor]])</f>
        <v>17220000</v>
      </c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</row>
    <row r="82" spans="1:30" x14ac:dyDescent="0.3">
      <c r="A82" t="s">
        <v>90</v>
      </c>
      <c r="B82" s="102">
        <f>INDEX(PrMatAmt[[aluminium]:[VibrationMotor]],MATCH($A69,PrShipCost_tbl[[Product Name]:[Product Name]],0),B$52)*INDEX(MatVolPrice[[Product Name]:[Max Price]],MATCH(MatAmtVol[[#Headers],[aluminium]],MatVolPrice[[Product Name]:[Product Name]],0),4)</f>
        <v>0</v>
      </c>
      <c r="C82" s="102">
        <f>INDEX(PrMatAmt[[aluminium]:[VibrationMotor]],MATCH($A69,PrShipCost_tbl[[Product Name]:[Product Name]],0),C$52)*INDEX(MatVolPrice[[Product Name]:[Max Price]],MATCH(MatAmtVol[[#Headers],[chips]],MatVolPrice[[Product Name]:[Product Name]],0),4)</f>
        <v>0</v>
      </c>
      <c r="D82" s="102">
        <f>INDEX(PrMatAmt[[aluminium]:[VibrationMotor]],MATCH($A69,PrShipCost_tbl[[Product Name]:[Product Name]],0),D$52)*INDEX(MatVolPrice[[Product Name]:[Max Price]],MATCH(MatAmtVol[[#Headers],[cobalt]],MatVolPrice[[Product Name]:[Product Name]],0),4)</f>
        <v>7560000</v>
      </c>
      <c r="E82" s="102">
        <f>INDEX(PrMatAmt[[aluminium]:[VibrationMotor]],MATCH($A69,PrShipCost_tbl[[Product Name]:[Product Name]],0),E$52)*INDEX(MatVolPrice[[Product Name]:[Max Price]],MATCH(MatAmtVol[[#Headers],[copper]],MatVolPrice[[Product Name]:[Product Name]],0),4)</f>
        <v>0</v>
      </c>
      <c r="F82" s="102">
        <f>INDEX(PrMatAmt[[aluminium]:[VibrationMotor]],MATCH($A69,PrShipCost_tbl[[Product Name]:[Product Name]],0),F$52)*INDEX(MatVolPrice[[Product Name]:[Max Price]],MATCH(MatAmtVol[[#Headers],[glass]],MatVolPrice[[Product Name]:[Product Name]],0),4)</f>
        <v>0</v>
      </c>
      <c r="G82" s="102">
        <f>INDEX(PrMatAmt[[aluminium]:[VibrationMotor]],MATCH($A69,PrShipCost_tbl[[Product Name]:[Product Name]],0),G$52)*INDEX(MatVolPrice[[Product Name]:[Max Price]],MATCH(MatAmtVol[[#Headers],[lithium]],MatVolPrice[[Product Name]:[Product Name]],0),4)</f>
        <v>5040000</v>
      </c>
      <c r="H82" s="102">
        <f>INDEX(PrMatAmt[[aluminium]:[VibrationMotor]],MATCH($A69,PrShipCost_tbl[[Product Name]:[Product Name]],0),H$52)*INDEX(MatVolPrice[[Product Name]:[Max Price]],MATCH(MatAmtVol[[#Headers],[microphone]],MatVolPrice[[Product Name]:[Product Name]],0),4)</f>
        <v>0</v>
      </c>
      <c r="I82" s="102">
        <f>INDEX(PrMatAmt[[aluminium]:[VibrationMotor]],MATCH($A69,PrShipCost_tbl[[Product Name]:[Product Name]],0),I$52)*INDEX(MatVolPrice[[Product Name]:[Max Price]],MATCH(MatAmtVol[[#Headers],[plastic]],MatVolPrice[[Product Name]:[Product Name]],0),4)</f>
        <v>0</v>
      </c>
      <c r="J82" s="102">
        <f>INDEX(PrMatAmt[[aluminium]:[VibrationMotor]],MATCH($A69,PrShipCost_tbl[[Product Name]:[Product Name]],0),J$52)*INDEX(MatVolPrice[[Product Name]:[Max Price]],MATCH(MatAmtVol[[#Headers],[ports]],MatVolPrice[[Product Name]:[Product Name]],0),4)</f>
        <v>0</v>
      </c>
      <c r="K82" s="102">
        <f>INDEX(PrMatAmt[[aluminium]:[VibrationMotor]],MATCH($A69,PrShipCost_tbl[[Product Name]:[Product Name]],0),K$52)*INDEX(MatVolPrice[[Product Name]:[Max Price]],MATCH(MatAmtVol[[#Headers],[processors]],MatVolPrice[[Product Name]:[Product Name]],0),4)</f>
        <v>0</v>
      </c>
      <c r="L82" s="102">
        <f>INDEX(PrMatAmt[[aluminium]:[VibrationMotor]],MATCH($A69,PrShipCost_tbl[[Product Name]:[Product Name]],0),L$52)*INDEX(MatVolPrice[[Product Name]:[Max Price]],MATCH(MatAmtVol[[#Headers],[silicon]],MatVolPrice[[Product Name]:[Product Name]],0),4)</f>
        <v>0</v>
      </c>
      <c r="M82" s="102">
        <f>INDEX(PrMatAmt[[aluminium]:[VibrationMotor]],MATCH($A69,PrShipCost_tbl[[Product Name]:[Product Name]],0),M$52)*INDEX(MatVolPrice[[Product Name]:[Max Price]],MATCH(MatAmtVol[[#Headers],[speaker]],MatVolPrice[[Product Name]:[Product Name]],0),4)</f>
        <v>0</v>
      </c>
      <c r="N82" s="102">
        <f>INDEX(PrMatAmt[[aluminium]:[VibrationMotor]],MATCH($A69,PrShipCost_tbl[[Product Name]:[Product Name]],0),N$52)*INDEX(MatVolPrice[[Product Name]:[Max Price]],MATCH(MatAmtVol[[#Headers],[VibrationMotor]],MatVolPrice[[Product Name]:[Product Name]],0),4)</f>
        <v>0</v>
      </c>
      <c r="O82" s="102">
        <f>SUM(MatAmtVol[[#This Row],[aluminium]:[VibrationMotor]])</f>
        <v>12600000</v>
      </c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</row>
    <row r="83" spans="1:30" x14ac:dyDescent="0.3">
      <c r="A83" t="s">
        <v>91</v>
      </c>
      <c r="B83" s="102">
        <f>INDEX(PrMatAmt[[aluminium]:[VibrationMotor]],MATCH($A70,PrShipCost_tbl[[Product Name]:[Product Name]],0),B$52)*INDEX(MatVolPrice[[Product Name]:[Max Price]],MATCH(MatAmtVol[[#Headers],[aluminium]],MatVolPrice[[Product Name]:[Product Name]],0),4)</f>
        <v>5880000</v>
      </c>
      <c r="C83" s="102">
        <f>INDEX(PrMatAmt[[aluminium]:[VibrationMotor]],MATCH($A70,PrShipCost_tbl[[Product Name]:[Product Name]],0),C$52)*INDEX(MatVolPrice[[Product Name]:[Max Price]],MATCH(MatAmtVol[[#Headers],[chips]],MatVolPrice[[Product Name]:[Product Name]],0),4)</f>
        <v>0</v>
      </c>
      <c r="D83" s="102">
        <f>INDEX(PrMatAmt[[aluminium]:[VibrationMotor]],MATCH($A70,PrShipCost_tbl[[Product Name]:[Product Name]],0),D$52)*INDEX(MatVolPrice[[Product Name]:[Max Price]],MATCH(MatAmtVol[[#Headers],[cobalt]],MatVolPrice[[Product Name]:[Product Name]],0),4)</f>
        <v>0</v>
      </c>
      <c r="E83" s="102">
        <f>INDEX(PrMatAmt[[aluminium]:[VibrationMotor]],MATCH($A70,PrShipCost_tbl[[Product Name]:[Product Name]],0),E$52)*INDEX(MatVolPrice[[Product Name]:[Max Price]],MATCH(MatAmtVol[[#Headers],[copper]],MatVolPrice[[Product Name]:[Product Name]],0),4)</f>
        <v>0</v>
      </c>
      <c r="F83" s="102">
        <f>INDEX(PrMatAmt[[aluminium]:[VibrationMotor]],MATCH($A70,PrShipCost_tbl[[Product Name]:[Product Name]],0),F$52)*INDEX(MatVolPrice[[Product Name]:[Max Price]],MATCH(MatAmtVol[[#Headers],[glass]],MatVolPrice[[Product Name]:[Product Name]],0),4)</f>
        <v>0</v>
      </c>
      <c r="G83" s="102">
        <f>INDEX(PrMatAmt[[aluminium]:[VibrationMotor]],MATCH($A70,PrShipCost_tbl[[Product Name]:[Product Name]],0),G$52)*INDEX(MatVolPrice[[Product Name]:[Max Price]],MATCH(MatAmtVol[[#Headers],[lithium]],MatVolPrice[[Product Name]:[Product Name]],0),4)</f>
        <v>0</v>
      </c>
      <c r="H83" s="102">
        <f>INDEX(PrMatAmt[[aluminium]:[VibrationMotor]],MATCH($A70,PrShipCost_tbl[[Product Name]:[Product Name]],0),H$52)*INDEX(MatVolPrice[[Product Name]:[Max Price]],MATCH(MatAmtVol[[#Headers],[microphone]],MatVolPrice[[Product Name]:[Product Name]],0),4)</f>
        <v>0</v>
      </c>
      <c r="I83" s="102">
        <f>INDEX(PrMatAmt[[aluminium]:[VibrationMotor]],MATCH($A70,PrShipCost_tbl[[Product Name]:[Product Name]],0),I$52)*INDEX(MatVolPrice[[Product Name]:[Max Price]],MATCH(MatAmtVol[[#Headers],[plastic]],MatVolPrice[[Product Name]:[Product Name]],0),4)</f>
        <v>25200000</v>
      </c>
      <c r="J83" s="102">
        <f>INDEX(PrMatAmt[[aluminium]:[VibrationMotor]],MATCH($A70,PrShipCost_tbl[[Product Name]:[Product Name]],0),J$52)*INDEX(MatVolPrice[[Product Name]:[Max Price]],MATCH(MatAmtVol[[#Headers],[ports]],MatVolPrice[[Product Name]:[Product Name]],0),4)</f>
        <v>0</v>
      </c>
      <c r="K83" s="102">
        <f>INDEX(PrMatAmt[[aluminium]:[VibrationMotor]],MATCH($A70,PrShipCost_tbl[[Product Name]:[Product Name]],0),K$52)*INDEX(MatVolPrice[[Product Name]:[Max Price]],MATCH(MatAmtVol[[#Headers],[processors]],MatVolPrice[[Product Name]:[Product Name]],0),4)</f>
        <v>0</v>
      </c>
      <c r="L83" s="102">
        <f>INDEX(PrMatAmt[[aluminium]:[VibrationMotor]],MATCH($A70,PrShipCost_tbl[[Product Name]:[Product Name]],0),L$52)*INDEX(MatVolPrice[[Product Name]:[Max Price]],MATCH(MatAmtVol[[#Headers],[silicon]],MatVolPrice[[Product Name]:[Product Name]],0),4)</f>
        <v>0</v>
      </c>
      <c r="M83" s="102">
        <f>INDEX(PrMatAmt[[aluminium]:[VibrationMotor]],MATCH($A70,PrShipCost_tbl[[Product Name]:[Product Name]],0),M$52)*INDEX(MatVolPrice[[Product Name]:[Max Price]],MATCH(MatAmtVol[[#Headers],[speaker]],MatVolPrice[[Product Name]:[Product Name]],0),4)</f>
        <v>0</v>
      </c>
      <c r="N83" s="102">
        <f>INDEX(PrMatAmt[[aluminium]:[VibrationMotor]],MATCH($A70,PrShipCost_tbl[[Product Name]:[Product Name]],0),N$52)*INDEX(MatVolPrice[[Product Name]:[Max Price]],MATCH(MatAmtVol[[#Headers],[VibrationMotor]],MatVolPrice[[Product Name]:[Product Name]],0),4)</f>
        <v>0</v>
      </c>
      <c r="O83" s="102">
        <f>SUM(MatAmtVol[[#This Row],[aluminium]:[VibrationMotor]])</f>
        <v>31080000</v>
      </c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</row>
    <row r="84" spans="1:30" x14ac:dyDescent="0.3">
      <c r="A84" t="s">
        <v>92</v>
      </c>
      <c r="B84" s="102">
        <f>INDEX(PrMatAmt[[aluminium]:[VibrationMotor]],MATCH($A71,PrShipCost_tbl[[Product Name]:[Product Name]],0),B$52)*INDEX(MatVolPrice[[Product Name]:[Max Price]],MATCH(MatAmtVol[[#Headers],[aluminium]],MatVolPrice[[Product Name]:[Product Name]],0),4)</f>
        <v>0</v>
      </c>
      <c r="C84" s="102">
        <f>INDEX(PrMatAmt[[aluminium]:[VibrationMotor]],MATCH($A71,PrShipCost_tbl[[Product Name]:[Product Name]],0),C$52)*INDEX(MatVolPrice[[Product Name]:[Max Price]],MATCH(MatAmtVol[[#Headers],[chips]],MatVolPrice[[Product Name]:[Product Name]],0),4)</f>
        <v>0</v>
      </c>
      <c r="D84" s="102">
        <f>INDEX(PrMatAmt[[aluminium]:[VibrationMotor]],MATCH($A71,PrShipCost_tbl[[Product Name]:[Product Name]],0),D$52)*INDEX(MatVolPrice[[Product Name]:[Max Price]],MATCH(MatAmtVol[[#Headers],[cobalt]],MatVolPrice[[Product Name]:[Product Name]],0),4)</f>
        <v>0</v>
      </c>
      <c r="E84" s="102">
        <f>INDEX(PrMatAmt[[aluminium]:[VibrationMotor]],MATCH($A71,PrShipCost_tbl[[Product Name]:[Product Name]],0),E$52)*INDEX(MatVolPrice[[Product Name]:[Max Price]],MATCH(MatAmtVol[[#Headers],[copper]],MatVolPrice[[Product Name]:[Product Name]],0),4)</f>
        <v>840000</v>
      </c>
      <c r="F84" s="102">
        <f>INDEX(PrMatAmt[[aluminium]:[VibrationMotor]],MATCH($A71,PrShipCost_tbl[[Product Name]:[Product Name]],0),F$52)*INDEX(MatVolPrice[[Product Name]:[Max Price]],MATCH(MatAmtVol[[#Headers],[glass]],MatVolPrice[[Product Name]:[Product Name]],0),4)</f>
        <v>3360000</v>
      </c>
      <c r="G84" s="102">
        <f>INDEX(PrMatAmt[[aluminium]:[VibrationMotor]],MATCH($A71,PrShipCost_tbl[[Product Name]:[Product Name]],0),G$52)*INDEX(MatVolPrice[[Product Name]:[Max Price]],MATCH(MatAmtVol[[#Headers],[lithium]],MatVolPrice[[Product Name]:[Product Name]],0),4)</f>
        <v>0</v>
      </c>
      <c r="H84" s="102">
        <f>INDEX(PrMatAmt[[aluminium]:[VibrationMotor]],MATCH($A71,PrShipCost_tbl[[Product Name]:[Product Name]],0),H$52)*INDEX(MatVolPrice[[Product Name]:[Max Price]],MATCH(MatAmtVol[[#Headers],[microphone]],MatVolPrice[[Product Name]:[Product Name]],0),4)</f>
        <v>0</v>
      </c>
      <c r="I84" s="102">
        <f>INDEX(PrMatAmt[[aluminium]:[VibrationMotor]],MATCH($A71,PrShipCost_tbl[[Product Name]:[Product Name]],0),I$52)*INDEX(MatVolPrice[[Product Name]:[Max Price]],MATCH(MatAmtVol[[#Headers],[plastic]],MatVolPrice[[Product Name]:[Product Name]],0),4)</f>
        <v>7560000</v>
      </c>
      <c r="J84" s="102">
        <f>INDEX(PrMatAmt[[aluminium]:[VibrationMotor]],MATCH($A71,PrShipCost_tbl[[Product Name]:[Product Name]],0),J$52)*INDEX(MatVolPrice[[Product Name]:[Max Price]],MATCH(MatAmtVol[[#Headers],[ports]],MatVolPrice[[Product Name]:[Product Name]],0),4)</f>
        <v>0</v>
      </c>
      <c r="K84" s="102">
        <f>INDEX(PrMatAmt[[aluminium]:[VibrationMotor]],MATCH($A71,PrShipCost_tbl[[Product Name]:[Product Name]],0),K$52)*INDEX(MatVolPrice[[Product Name]:[Max Price]],MATCH(MatAmtVol[[#Headers],[processors]],MatVolPrice[[Product Name]:[Product Name]],0),4)</f>
        <v>0</v>
      </c>
      <c r="L84" s="102">
        <f>INDEX(PrMatAmt[[aluminium]:[VibrationMotor]],MATCH($A71,PrShipCost_tbl[[Product Name]:[Product Name]],0),L$52)*INDEX(MatVolPrice[[Product Name]:[Max Price]],MATCH(MatAmtVol[[#Headers],[silicon]],MatVolPrice[[Product Name]:[Product Name]],0),4)</f>
        <v>0</v>
      </c>
      <c r="M84" s="102">
        <f>INDEX(PrMatAmt[[aluminium]:[VibrationMotor]],MATCH($A71,PrShipCost_tbl[[Product Name]:[Product Name]],0),M$52)*INDEX(MatVolPrice[[Product Name]:[Max Price]],MATCH(MatAmtVol[[#Headers],[speaker]],MatVolPrice[[Product Name]:[Product Name]],0),4)</f>
        <v>0</v>
      </c>
      <c r="N84" s="102">
        <f>INDEX(PrMatAmt[[aluminium]:[VibrationMotor]],MATCH($A71,PrShipCost_tbl[[Product Name]:[Product Name]],0),N$52)*INDEX(MatVolPrice[[Product Name]:[Max Price]],MATCH(MatAmtVol[[#Headers],[VibrationMotor]],MatVolPrice[[Product Name]:[Product Name]],0),4)</f>
        <v>0</v>
      </c>
      <c r="O84" s="102">
        <f>SUM(MatAmtVol[[#This Row],[aluminium]:[VibrationMotor]])</f>
        <v>11760000</v>
      </c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</row>
    <row r="85" spans="1:30" x14ac:dyDescent="0.3">
      <c r="A85" t="s">
        <v>93</v>
      </c>
      <c r="B85" s="102">
        <f>INDEX(PrMatAmt[[aluminium]:[VibrationMotor]],MATCH($A72,PrShipCost_tbl[[Product Name]:[Product Name]],0),B$52)*INDEX(MatVolPrice[[Product Name]:[Max Price]],MATCH(MatAmtVol[[#Headers],[aluminium]],MatVolPrice[[Product Name]:[Product Name]],0),4)</f>
        <v>1680000</v>
      </c>
      <c r="C85" s="102">
        <f>INDEX(PrMatAmt[[aluminium]:[VibrationMotor]],MATCH($A72,PrShipCost_tbl[[Product Name]:[Product Name]],0),C$52)*INDEX(MatVolPrice[[Product Name]:[Max Price]],MATCH(MatAmtVol[[#Headers],[chips]],MatVolPrice[[Product Name]:[Product Name]],0),4)</f>
        <v>0</v>
      </c>
      <c r="D85" s="102">
        <f>INDEX(PrMatAmt[[aluminium]:[VibrationMotor]],MATCH($A72,PrShipCost_tbl[[Product Name]:[Product Name]],0),D$52)*INDEX(MatVolPrice[[Product Name]:[Max Price]],MATCH(MatAmtVol[[#Headers],[cobalt]],MatVolPrice[[Product Name]:[Product Name]],0),4)</f>
        <v>0</v>
      </c>
      <c r="E85" s="102">
        <f>INDEX(PrMatAmt[[aluminium]:[VibrationMotor]],MATCH($A72,PrShipCost_tbl[[Product Name]:[Product Name]],0),E$52)*INDEX(MatVolPrice[[Product Name]:[Max Price]],MATCH(MatAmtVol[[#Headers],[copper]],MatVolPrice[[Product Name]:[Product Name]],0),4)</f>
        <v>630000</v>
      </c>
      <c r="F85" s="102">
        <f>INDEX(PrMatAmt[[aluminium]:[VibrationMotor]],MATCH($A72,PrShipCost_tbl[[Product Name]:[Product Name]],0),F$52)*INDEX(MatVolPrice[[Product Name]:[Max Price]],MATCH(MatAmtVol[[#Headers],[glass]],MatVolPrice[[Product Name]:[Product Name]],0),4)</f>
        <v>0</v>
      </c>
      <c r="G85" s="102">
        <f>INDEX(PrMatAmt[[aluminium]:[VibrationMotor]],MATCH($A72,PrShipCost_tbl[[Product Name]:[Product Name]],0),G$52)*INDEX(MatVolPrice[[Product Name]:[Max Price]],MATCH(MatAmtVol[[#Headers],[lithium]],MatVolPrice[[Product Name]:[Product Name]],0),4)</f>
        <v>0</v>
      </c>
      <c r="H85" s="102">
        <f>INDEX(PrMatAmt[[aluminium]:[VibrationMotor]],MATCH($A72,PrShipCost_tbl[[Product Name]:[Product Name]],0),H$52)*INDEX(MatVolPrice[[Product Name]:[Max Price]],MATCH(MatAmtVol[[#Headers],[microphone]],MatVolPrice[[Product Name]:[Product Name]],0),4)</f>
        <v>0</v>
      </c>
      <c r="I85" s="102">
        <f>INDEX(PrMatAmt[[aluminium]:[VibrationMotor]],MATCH($A72,PrShipCost_tbl[[Product Name]:[Product Name]],0),I$52)*INDEX(MatVolPrice[[Product Name]:[Max Price]],MATCH(MatAmtVol[[#Headers],[plastic]],MatVolPrice[[Product Name]:[Product Name]],0),4)</f>
        <v>2940000</v>
      </c>
      <c r="J85" s="102">
        <f>INDEX(PrMatAmt[[aluminium]:[VibrationMotor]],MATCH($A72,PrShipCost_tbl[[Product Name]:[Product Name]],0),J$52)*INDEX(MatVolPrice[[Product Name]:[Max Price]],MATCH(MatAmtVol[[#Headers],[ports]],MatVolPrice[[Product Name]:[Product Name]],0),4)</f>
        <v>0</v>
      </c>
      <c r="K85" s="102">
        <f>INDEX(PrMatAmt[[aluminium]:[VibrationMotor]],MATCH($A72,PrShipCost_tbl[[Product Name]:[Product Name]],0),K$52)*INDEX(MatVolPrice[[Product Name]:[Max Price]],MATCH(MatAmtVol[[#Headers],[processors]],MatVolPrice[[Product Name]:[Product Name]],0),4)</f>
        <v>0</v>
      </c>
      <c r="L85" s="102">
        <f>INDEX(PrMatAmt[[aluminium]:[VibrationMotor]],MATCH($A72,PrShipCost_tbl[[Product Name]:[Product Name]],0),L$52)*INDEX(MatVolPrice[[Product Name]:[Max Price]],MATCH(MatAmtVol[[#Headers],[silicon]],MatVolPrice[[Product Name]:[Product Name]],0),4)</f>
        <v>0</v>
      </c>
      <c r="M85" s="102">
        <f>INDEX(PrMatAmt[[aluminium]:[VibrationMotor]],MATCH($A72,PrShipCost_tbl[[Product Name]:[Product Name]],0),M$52)*INDEX(MatVolPrice[[Product Name]:[Max Price]],MATCH(MatAmtVol[[#Headers],[speaker]],MatVolPrice[[Product Name]:[Product Name]],0),4)</f>
        <v>0</v>
      </c>
      <c r="N85" s="102">
        <f>INDEX(PrMatAmt[[aluminium]:[VibrationMotor]],MATCH($A72,PrShipCost_tbl[[Product Name]:[Product Name]],0),N$52)*INDEX(MatVolPrice[[Product Name]:[Max Price]],MATCH(MatAmtVol[[#Headers],[VibrationMotor]],MatVolPrice[[Product Name]:[Product Name]],0),4)</f>
        <v>0</v>
      </c>
      <c r="O85" s="102">
        <f>SUM(MatAmtVol[[#This Row],[aluminium]:[VibrationMotor]])</f>
        <v>5250000</v>
      </c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</row>
    <row r="86" spans="1:30" x14ac:dyDescent="0.3">
      <c r="A86" t="s">
        <v>94</v>
      </c>
      <c r="B86" s="102">
        <f>INDEX(PrMatAmt[[aluminium]:[VibrationMotor]],MATCH($A73,PrShipCost_tbl[[Product Name]:[Product Name]],0),B$52)*INDEX(MatVolPrice[[Product Name]:[Max Price]],MATCH(MatAmtVol[[#Headers],[aluminium]],MatVolPrice[[Product Name]:[Product Name]],0),4)</f>
        <v>4200000</v>
      </c>
      <c r="C86" s="102">
        <f>INDEX(PrMatAmt[[aluminium]:[VibrationMotor]],MATCH($A73,PrShipCost_tbl[[Product Name]:[Product Name]],0),C$52)*INDEX(MatVolPrice[[Product Name]:[Max Price]],MATCH(MatAmtVol[[#Headers],[chips]],MatVolPrice[[Product Name]:[Product Name]],0),4)</f>
        <v>0</v>
      </c>
      <c r="D86" s="102">
        <f>INDEX(PrMatAmt[[aluminium]:[VibrationMotor]],MATCH($A73,PrShipCost_tbl[[Product Name]:[Product Name]],0),D$52)*INDEX(MatVolPrice[[Product Name]:[Max Price]],MATCH(MatAmtVol[[#Headers],[cobalt]],MatVolPrice[[Product Name]:[Product Name]],0),4)</f>
        <v>0</v>
      </c>
      <c r="E86" s="102">
        <f>INDEX(PrMatAmt[[aluminium]:[VibrationMotor]],MATCH($A73,PrShipCost_tbl[[Product Name]:[Product Name]],0),E$52)*INDEX(MatVolPrice[[Product Name]:[Max Price]],MATCH(MatAmtVol[[#Headers],[copper]],MatVolPrice[[Product Name]:[Product Name]],0),4)</f>
        <v>0</v>
      </c>
      <c r="F86" s="102">
        <f>INDEX(PrMatAmt[[aluminium]:[VibrationMotor]],MATCH($A73,PrShipCost_tbl[[Product Name]:[Product Name]],0),F$52)*INDEX(MatVolPrice[[Product Name]:[Max Price]],MATCH(MatAmtVol[[#Headers],[glass]],MatVolPrice[[Product Name]:[Product Name]],0),4)</f>
        <v>0</v>
      </c>
      <c r="G86" s="102">
        <f>INDEX(PrMatAmt[[aluminium]:[VibrationMotor]],MATCH($A73,PrShipCost_tbl[[Product Name]:[Product Name]],0),G$52)*INDEX(MatVolPrice[[Product Name]:[Max Price]],MATCH(MatAmtVol[[#Headers],[lithium]],MatVolPrice[[Product Name]:[Product Name]],0),4)</f>
        <v>0</v>
      </c>
      <c r="H86" s="102">
        <f>INDEX(PrMatAmt[[aluminium]:[VibrationMotor]],MATCH($A73,PrShipCost_tbl[[Product Name]:[Product Name]],0),H$52)*INDEX(MatVolPrice[[Product Name]:[Max Price]],MATCH(MatAmtVol[[#Headers],[microphone]],MatVolPrice[[Product Name]:[Product Name]],0),4)</f>
        <v>0</v>
      </c>
      <c r="I86" s="102">
        <f>INDEX(PrMatAmt[[aluminium]:[VibrationMotor]],MATCH($A73,PrShipCost_tbl[[Product Name]:[Product Name]],0),I$52)*INDEX(MatVolPrice[[Product Name]:[Max Price]],MATCH(MatAmtVol[[#Headers],[plastic]],MatVolPrice[[Product Name]:[Product Name]],0),4)</f>
        <v>10080000</v>
      </c>
      <c r="J86" s="102">
        <f>INDEX(PrMatAmt[[aluminium]:[VibrationMotor]],MATCH($A73,PrShipCost_tbl[[Product Name]:[Product Name]],0),J$52)*INDEX(MatVolPrice[[Product Name]:[Max Price]],MATCH(MatAmtVol[[#Headers],[ports]],MatVolPrice[[Product Name]:[Product Name]],0),4)</f>
        <v>0</v>
      </c>
      <c r="K86" s="102">
        <f>INDEX(PrMatAmt[[aluminium]:[VibrationMotor]],MATCH($A73,PrShipCost_tbl[[Product Name]:[Product Name]],0),K$52)*INDEX(MatVolPrice[[Product Name]:[Max Price]],MATCH(MatAmtVol[[#Headers],[processors]],MatVolPrice[[Product Name]:[Product Name]],0),4)</f>
        <v>0</v>
      </c>
      <c r="L86" s="102">
        <f>INDEX(PrMatAmt[[aluminium]:[VibrationMotor]],MATCH($A73,PrShipCost_tbl[[Product Name]:[Product Name]],0),L$52)*INDEX(MatVolPrice[[Product Name]:[Max Price]],MATCH(MatAmtVol[[#Headers],[silicon]],MatVolPrice[[Product Name]:[Product Name]],0),4)</f>
        <v>0</v>
      </c>
      <c r="M86" s="102">
        <f>INDEX(PrMatAmt[[aluminium]:[VibrationMotor]],MATCH($A73,PrShipCost_tbl[[Product Name]:[Product Name]],0),M$52)*INDEX(MatVolPrice[[Product Name]:[Max Price]],MATCH(MatAmtVol[[#Headers],[speaker]],MatVolPrice[[Product Name]:[Product Name]],0),4)</f>
        <v>0</v>
      </c>
      <c r="N86" s="102">
        <f>INDEX(PrMatAmt[[aluminium]:[VibrationMotor]],MATCH($A73,PrShipCost_tbl[[Product Name]:[Product Name]],0),N$52)*INDEX(MatVolPrice[[Product Name]:[Max Price]],MATCH(MatAmtVol[[#Headers],[VibrationMotor]],MatVolPrice[[Product Name]:[Product Name]],0),4)</f>
        <v>0</v>
      </c>
      <c r="O86" s="102">
        <f>SUM(MatAmtVol[[#This Row],[aluminium]:[VibrationMotor]])</f>
        <v>14280000</v>
      </c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</row>
    <row r="87" spans="1:30" x14ac:dyDescent="0.3">
      <c r="A87" t="s">
        <v>95</v>
      </c>
      <c r="B87" s="102">
        <f>INDEX(PrMatAmt[[aluminium]:[VibrationMotor]],MATCH($A74,PrShipCost_tbl[[Product Name]:[Product Name]],0),B$52)*INDEX(MatVolPrice[[Product Name]:[Max Price]],MATCH(MatAmtVol[[#Headers],[aluminium]],MatVolPrice[[Product Name]:[Product Name]],0),4)</f>
        <v>7560000</v>
      </c>
      <c r="C87" s="102">
        <f>INDEX(PrMatAmt[[aluminium]:[VibrationMotor]],MATCH($A74,PrShipCost_tbl[[Product Name]:[Product Name]],0),C$52)*INDEX(MatVolPrice[[Product Name]:[Max Price]],MATCH(MatAmtVol[[#Headers],[chips]],MatVolPrice[[Product Name]:[Product Name]],0),4)</f>
        <v>0</v>
      </c>
      <c r="D87" s="102">
        <f>INDEX(PrMatAmt[[aluminium]:[VibrationMotor]],MATCH($A74,PrShipCost_tbl[[Product Name]:[Product Name]],0),D$52)*INDEX(MatVolPrice[[Product Name]:[Max Price]],MATCH(MatAmtVol[[#Headers],[cobalt]],MatVolPrice[[Product Name]:[Product Name]],0),4)</f>
        <v>0</v>
      </c>
      <c r="E87" s="102">
        <f>INDEX(PrMatAmt[[aluminium]:[VibrationMotor]],MATCH($A74,PrShipCost_tbl[[Product Name]:[Product Name]],0),E$52)*INDEX(MatVolPrice[[Product Name]:[Max Price]],MATCH(MatAmtVol[[#Headers],[copper]],MatVolPrice[[Product Name]:[Product Name]],0),4)</f>
        <v>0</v>
      </c>
      <c r="F87" s="102">
        <f>INDEX(PrMatAmt[[aluminium]:[VibrationMotor]],MATCH($A74,PrShipCost_tbl[[Product Name]:[Product Name]],0),F$52)*INDEX(MatVolPrice[[Product Name]:[Max Price]],MATCH(MatAmtVol[[#Headers],[glass]],MatVolPrice[[Product Name]:[Product Name]],0),4)</f>
        <v>37800000</v>
      </c>
      <c r="G87" s="102">
        <f>INDEX(PrMatAmt[[aluminium]:[VibrationMotor]],MATCH($A74,PrShipCost_tbl[[Product Name]:[Product Name]],0),G$52)*INDEX(MatVolPrice[[Product Name]:[Max Price]],MATCH(MatAmtVol[[#Headers],[lithium]],MatVolPrice[[Product Name]:[Product Name]],0),4)</f>
        <v>0</v>
      </c>
      <c r="H87" s="102">
        <f>INDEX(PrMatAmt[[aluminium]:[VibrationMotor]],MATCH($A74,PrShipCost_tbl[[Product Name]:[Product Name]],0),H$52)*INDEX(MatVolPrice[[Product Name]:[Max Price]],MATCH(MatAmtVol[[#Headers],[microphone]],MatVolPrice[[Product Name]:[Product Name]],0),4)</f>
        <v>0</v>
      </c>
      <c r="I87" s="102">
        <f>INDEX(PrMatAmt[[aluminium]:[VibrationMotor]],MATCH($A74,PrShipCost_tbl[[Product Name]:[Product Name]],0),I$52)*INDEX(MatVolPrice[[Product Name]:[Max Price]],MATCH(MatAmtVol[[#Headers],[plastic]],MatVolPrice[[Product Name]:[Product Name]],0),4)</f>
        <v>0</v>
      </c>
      <c r="J87" s="102">
        <f>INDEX(PrMatAmt[[aluminium]:[VibrationMotor]],MATCH($A74,PrShipCost_tbl[[Product Name]:[Product Name]],0),J$52)*INDEX(MatVolPrice[[Product Name]:[Max Price]],MATCH(MatAmtVol[[#Headers],[ports]],MatVolPrice[[Product Name]:[Product Name]],0),4)</f>
        <v>0</v>
      </c>
      <c r="K87" s="102">
        <f>INDEX(PrMatAmt[[aluminium]:[VibrationMotor]],MATCH($A74,PrShipCost_tbl[[Product Name]:[Product Name]],0),K$52)*INDEX(MatVolPrice[[Product Name]:[Max Price]],MATCH(MatAmtVol[[#Headers],[processors]],MatVolPrice[[Product Name]:[Product Name]],0),4)</f>
        <v>0</v>
      </c>
      <c r="L87" s="102">
        <f>INDEX(PrMatAmt[[aluminium]:[VibrationMotor]],MATCH($A74,PrShipCost_tbl[[Product Name]:[Product Name]],0),L$52)*INDEX(MatVolPrice[[Product Name]:[Max Price]],MATCH(MatAmtVol[[#Headers],[silicon]],MatVolPrice[[Product Name]:[Product Name]],0),4)</f>
        <v>6720000</v>
      </c>
      <c r="M87" s="102">
        <f>INDEX(PrMatAmt[[aluminium]:[VibrationMotor]],MATCH($A74,PrShipCost_tbl[[Product Name]:[Product Name]],0),M$52)*INDEX(MatVolPrice[[Product Name]:[Max Price]],MATCH(MatAmtVol[[#Headers],[speaker]],MatVolPrice[[Product Name]:[Product Name]],0),4)</f>
        <v>0</v>
      </c>
      <c r="N87" s="102">
        <f>INDEX(PrMatAmt[[aluminium]:[VibrationMotor]],MATCH($A74,PrShipCost_tbl[[Product Name]:[Product Name]],0),N$52)*INDEX(MatVolPrice[[Product Name]:[Max Price]],MATCH(MatAmtVol[[#Headers],[VibrationMotor]],MatVolPrice[[Product Name]:[Product Name]],0),4)</f>
        <v>0</v>
      </c>
      <c r="O87" s="102">
        <f>SUM(MatAmtVol[[#This Row],[aluminium]:[VibrationMotor]])</f>
        <v>52080000</v>
      </c>
    </row>
    <row r="88" spans="1:30" x14ac:dyDescent="0.3">
      <c r="B88" s="102"/>
      <c r="C88" s="102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</row>
    <row r="89" spans="1:30" x14ac:dyDescent="0.3"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</row>
    <row r="90" spans="1:30" x14ac:dyDescent="0.3">
      <c r="A90" s="119" t="s">
        <v>115</v>
      </c>
    </row>
    <row r="91" spans="1:30" x14ac:dyDescent="0.3">
      <c r="C91">
        <v>1</v>
      </c>
      <c r="D91">
        <v>2</v>
      </c>
      <c r="E91">
        <v>3</v>
      </c>
      <c r="F91">
        <v>4</v>
      </c>
      <c r="G91">
        <v>5</v>
      </c>
      <c r="H91">
        <v>6</v>
      </c>
      <c r="I91">
        <v>7</v>
      </c>
      <c r="J91">
        <v>8</v>
      </c>
      <c r="K91">
        <v>9</v>
      </c>
      <c r="L91">
        <v>10</v>
      </c>
      <c r="M91">
        <v>11</v>
      </c>
      <c r="N91">
        <v>12</v>
      </c>
      <c r="O91">
        <v>13</v>
      </c>
    </row>
    <row r="92" spans="1:30" x14ac:dyDescent="0.3">
      <c r="A92" t="s">
        <v>128</v>
      </c>
      <c r="B92" t="s">
        <v>2</v>
      </c>
      <c r="C92" t="s">
        <v>116</v>
      </c>
      <c r="D92" t="s">
        <v>13</v>
      </c>
      <c r="E92" t="s">
        <v>15</v>
      </c>
      <c r="F92" t="s">
        <v>17</v>
      </c>
      <c r="G92" t="s">
        <v>19</v>
      </c>
      <c r="H92" t="s">
        <v>21</v>
      </c>
      <c r="I92" t="s">
        <v>23</v>
      </c>
      <c r="J92" t="s">
        <v>25</v>
      </c>
      <c r="K92" t="s">
        <v>27</v>
      </c>
      <c r="L92" t="s">
        <v>29</v>
      </c>
      <c r="M92" t="s">
        <v>31</v>
      </c>
      <c r="N92" t="s">
        <v>33</v>
      </c>
      <c r="O92" t="s">
        <v>179</v>
      </c>
      <c r="P92" t="s">
        <v>127</v>
      </c>
    </row>
    <row r="93" spans="1:30" x14ac:dyDescent="0.3">
      <c r="A93" s="100">
        <v>1</v>
      </c>
      <c r="B93" t="s">
        <v>88</v>
      </c>
      <c r="C93" s="135">
        <f>INDEX(PrMatAmt[[aluminium]:[VibrationMotor]],$A93,C$91)*INDEX(MatVolPrice[[Product Name]:[Max Price]],MATCH('Production Calc'!C$92,MatVolPrice[[Product Name]:[Product Name]],0),7)</f>
        <v>2520000</v>
      </c>
      <c r="D93" s="135">
        <f>INDEX(PrMatAmt[[aluminium]:[VibrationMotor]],$A93,D$91)*INDEX(MatVolPrice[[Product Name]:[Max Price]],MATCH('Production Calc'!D$92,MatVolPrice[[Product Name]:[Product Name]],0),7)</f>
        <v>0</v>
      </c>
      <c r="E93" s="135">
        <f>INDEX(PrMatAmt[[aluminium]:[VibrationMotor]],$A93,E$91)*INDEX(MatVolPrice[[Product Name]:[Max Price]],MATCH('Production Calc'!E$92,MatVolPrice[[Product Name]:[Product Name]],0),7)</f>
        <v>0</v>
      </c>
      <c r="F93" s="135">
        <f>INDEX(PrMatAmt[[aluminium]:[VibrationMotor]],$A93,F$91)*INDEX(MatVolPrice[[Product Name]:[Max Price]],MATCH('Production Calc'!F$92,MatVolPrice[[Product Name]:[Product Name]],0),7)</f>
        <v>2940000</v>
      </c>
      <c r="G93" s="135">
        <f>INDEX(PrMatAmt[[aluminium]:[VibrationMotor]],$A93,G$91)*INDEX(MatVolPrice[[Product Name]:[Max Price]],MATCH('Production Calc'!G$92,MatVolPrice[[Product Name]:[Product Name]],0),7)</f>
        <v>0</v>
      </c>
      <c r="H93" s="135">
        <f>INDEX(PrMatAmt[[aluminium]:[VibrationMotor]],$A93,H$91)*INDEX(MatVolPrice[[Product Name]:[Max Price]],MATCH('Production Calc'!H$92,MatVolPrice[[Product Name]:[Product Name]],0),7)</f>
        <v>0</v>
      </c>
      <c r="I93" s="135">
        <f>INDEX(PrMatAmt[[aluminium]:[VibrationMotor]],$A93,I$91)*INDEX(MatVolPrice[[Product Name]:[Max Price]],MATCH('Production Calc'!I$92,MatVolPrice[[Product Name]:[Product Name]],0),7)</f>
        <v>0</v>
      </c>
      <c r="J93" s="135">
        <f>INDEX(PrMatAmt[[aluminium]:[VibrationMotor]],$A93,J$91)*INDEX(MatVolPrice[[Product Name]:[Max Price]],MATCH('Production Calc'!J$92,MatVolPrice[[Product Name]:[Product Name]],0),7)</f>
        <v>1260000</v>
      </c>
      <c r="K93" s="135">
        <f>INDEX(PrMatAmt[[aluminium]:[VibrationMotor]],$A93,K$91)*INDEX(MatVolPrice[[Product Name]:[Max Price]],MATCH('Production Calc'!K$92,MatVolPrice[[Product Name]:[Product Name]],0),7)</f>
        <v>0</v>
      </c>
      <c r="L93" s="135">
        <f>INDEX(PrMatAmt[[aluminium]:[VibrationMotor]],$A93,L$91)*INDEX(MatVolPrice[[Product Name]:[Max Price]],MATCH('Production Calc'!L$92,MatVolPrice[[Product Name]:[Product Name]],0),7)</f>
        <v>0</v>
      </c>
      <c r="M93" s="135">
        <f>INDEX(PrMatAmt[[aluminium]:[VibrationMotor]],$A93,M$91)*INDEX(MatVolPrice[[Product Name]:[Max Price]],MATCH('Production Calc'!M$92,MatVolPrice[[Product Name]:[Product Name]],0),7)</f>
        <v>0</v>
      </c>
      <c r="N93" s="135">
        <f>INDEX(PrMatAmt[[aluminium]:[VibrationMotor]],$A93,N$91)*INDEX(MatVolPrice[[Product Name]:[Max Price]],MATCH('Production Calc'!N$92,MatVolPrice[[Product Name]:[Product Name]],0),7)</f>
        <v>0</v>
      </c>
      <c r="O93" s="135">
        <f>INDEX(PrMatAmt[[aluminium]:[VibrationMotor]],$A93,O$91)*INDEX(MatVolPrice[[Product Name]:[Max Price]],MATCH('Production Calc'!O$92,MatVolPrice[[Product Name]:[Product Name]],0),7)</f>
        <v>0</v>
      </c>
      <c r="P93" s="135">
        <f>SUM(PrMatCost_tbl[[#This Row],[aluminium]:[VibrationMotor]])</f>
        <v>6720000</v>
      </c>
    </row>
    <row r="94" spans="1:30" x14ac:dyDescent="0.3">
      <c r="A94" s="100">
        <v>2</v>
      </c>
      <c r="B94" t="s">
        <v>89</v>
      </c>
      <c r="C94" s="135">
        <f>INDEX(PrMatAmt[[aluminium]:[VibrationMotor]],$A94,C$91)*INDEX(MatVolPrice[[Product Name]:[Max Price]],MATCH('Production Calc'!C$92,MatVolPrice[[Product Name]:[Product Name]],0),7)</f>
        <v>5040000</v>
      </c>
      <c r="D94" s="135">
        <f>INDEX(PrMatAmt[[aluminium]:[VibrationMotor]],$A94,D$91)*INDEX(MatVolPrice[[Product Name]:[Max Price]],MATCH('Production Calc'!D$92,MatVolPrice[[Product Name]:[Product Name]],0),7)</f>
        <v>0</v>
      </c>
      <c r="E94" s="135">
        <f>INDEX(PrMatAmt[[aluminium]:[VibrationMotor]],$A94,E$91)*INDEX(MatVolPrice[[Product Name]:[Max Price]],MATCH('Production Calc'!E$92,MatVolPrice[[Product Name]:[Product Name]],0),7)</f>
        <v>0</v>
      </c>
      <c r="F94" s="135">
        <f>INDEX(PrMatAmt[[aluminium]:[VibrationMotor]],$A94,F$91)*INDEX(MatVolPrice[[Product Name]:[Max Price]],MATCH('Production Calc'!F$92,MatVolPrice[[Product Name]:[Product Name]],0),7)</f>
        <v>0</v>
      </c>
      <c r="G94" s="135">
        <f>INDEX(PrMatAmt[[aluminium]:[VibrationMotor]],$A94,G$91)*INDEX(MatVolPrice[[Product Name]:[Max Price]],MATCH('Production Calc'!G$92,MatVolPrice[[Product Name]:[Product Name]],0),7)</f>
        <v>6300000</v>
      </c>
      <c r="H94" s="135">
        <f>INDEX(PrMatAmt[[aluminium]:[VibrationMotor]],$A94,H$91)*INDEX(MatVolPrice[[Product Name]:[Max Price]],MATCH('Production Calc'!H$92,MatVolPrice[[Product Name]:[Product Name]],0),7)</f>
        <v>0</v>
      </c>
      <c r="I94" s="135">
        <f>INDEX(PrMatAmt[[aluminium]:[VibrationMotor]],$A94,I$91)*INDEX(MatVolPrice[[Product Name]:[Max Price]],MATCH('Production Calc'!I$92,MatVolPrice[[Product Name]:[Product Name]],0),7)</f>
        <v>0</v>
      </c>
      <c r="J94" s="135">
        <f>INDEX(PrMatAmt[[aluminium]:[VibrationMotor]],$A94,J$91)*INDEX(MatVolPrice[[Product Name]:[Max Price]],MATCH('Production Calc'!J$92,MatVolPrice[[Product Name]:[Product Name]],0),7)</f>
        <v>0</v>
      </c>
      <c r="K94" s="135">
        <f>INDEX(PrMatAmt[[aluminium]:[VibrationMotor]],$A94,K$91)*INDEX(MatVolPrice[[Product Name]:[Max Price]],MATCH('Production Calc'!K$92,MatVolPrice[[Product Name]:[Product Name]],0),7)</f>
        <v>0</v>
      </c>
      <c r="L94" s="135">
        <f>INDEX(PrMatAmt[[aluminium]:[VibrationMotor]],$A94,L$91)*INDEX(MatVolPrice[[Product Name]:[Max Price]],MATCH('Production Calc'!L$92,MatVolPrice[[Product Name]:[Product Name]],0),7)</f>
        <v>0</v>
      </c>
      <c r="M94" s="135">
        <f>INDEX(PrMatAmt[[aluminium]:[VibrationMotor]],$A94,M$91)*INDEX(MatVolPrice[[Product Name]:[Max Price]],MATCH('Production Calc'!M$92,MatVolPrice[[Product Name]:[Product Name]],0),7)</f>
        <v>2100000</v>
      </c>
      <c r="N94" s="135">
        <f>INDEX(PrMatAmt[[aluminium]:[VibrationMotor]],$A94,N$91)*INDEX(MatVolPrice[[Product Name]:[Max Price]],MATCH('Production Calc'!N$92,MatVolPrice[[Product Name]:[Product Name]],0),7)</f>
        <v>0</v>
      </c>
      <c r="O94" s="135">
        <f>INDEX(PrMatAmt[[aluminium]:[VibrationMotor]],$A94,O$91)*INDEX(MatVolPrice[[Product Name]:[Max Price]],MATCH('Production Calc'!O$92,MatVolPrice[[Product Name]:[Product Name]],0),7)</f>
        <v>0</v>
      </c>
      <c r="P94" s="135">
        <f>SUM(PrMatCost_tbl[[#This Row],[aluminium]:[VibrationMotor]])</f>
        <v>13440000</v>
      </c>
    </row>
    <row r="95" spans="1:30" x14ac:dyDescent="0.3">
      <c r="A95" s="100">
        <v>3</v>
      </c>
      <c r="B95" t="s">
        <v>90</v>
      </c>
      <c r="C95" s="135">
        <f>INDEX(PrMatAmt[[aluminium]:[VibrationMotor]],$A95,C$91)*INDEX(MatVolPrice[[Product Name]:[Max Price]],MATCH('Production Calc'!C$92,MatVolPrice[[Product Name]:[Product Name]],0),7)</f>
        <v>0</v>
      </c>
      <c r="D95" s="135">
        <f>INDEX(PrMatAmt[[aluminium]:[VibrationMotor]],$A95,D$91)*INDEX(MatVolPrice[[Product Name]:[Max Price]],MATCH('Production Calc'!D$92,MatVolPrice[[Product Name]:[Product Name]],0),7)</f>
        <v>0</v>
      </c>
      <c r="E95" s="135">
        <f>INDEX(PrMatAmt[[aluminium]:[VibrationMotor]],$A95,E$91)*INDEX(MatVolPrice[[Product Name]:[Max Price]],MATCH('Production Calc'!E$92,MatVolPrice[[Product Name]:[Product Name]],0),7)</f>
        <v>7560000</v>
      </c>
      <c r="F95" s="135">
        <f>INDEX(PrMatAmt[[aluminium]:[VibrationMotor]],$A95,F$91)*INDEX(MatVolPrice[[Product Name]:[Max Price]],MATCH('Production Calc'!F$92,MatVolPrice[[Product Name]:[Product Name]],0),7)</f>
        <v>0</v>
      </c>
      <c r="G95" s="135">
        <f>INDEX(PrMatAmt[[aluminium]:[VibrationMotor]],$A95,G$91)*INDEX(MatVolPrice[[Product Name]:[Max Price]],MATCH('Production Calc'!G$92,MatVolPrice[[Product Name]:[Product Name]],0),7)</f>
        <v>0</v>
      </c>
      <c r="H95" s="135">
        <f>INDEX(PrMatAmt[[aluminium]:[VibrationMotor]],$A95,H$91)*INDEX(MatVolPrice[[Product Name]:[Max Price]],MATCH('Production Calc'!H$92,MatVolPrice[[Product Name]:[Product Name]],0),7)</f>
        <v>1008000</v>
      </c>
      <c r="I95" s="135">
        <f>INDEX(PrMatAmt[[aluminium]:[VibrationMotor]],$A95,I$91)*INDEX(MatVolPrice[[Product Name]:[Max Price]],MATCH('Production Calc'!I$92,MatVolPrice[[Product Name]:[Product Name]],0),7)</f>
        <v>0</v>
      </c>
      <c r="J95" s="135">
        <f>INDEX(PrMatAmt[[aluminium]:[VibrationMotor]],$A95,J$91)*INDEX(MatVolPrice[[Product Name]:[Max Price]],MATCH('Production Calc'!J$92,MatVolPrice[[Product Name]:[Product Name]],0),7)</f>
        <v>0</v>
      </c>
      <c r="K95" s="135">
        <f>INDEX(PrMatAmt[[aluminium]:[VibrationMotor]],$A95,K$91)*INDEX(MatVolPrice[[Product Name]:[Max Price]],MATCH('Production Calc'!K$92,MatVolPrice[[Product Name]:[Product Name]],0),7)</f>
        <v>0</v>
      </c>
      <c r="L95" s="135">
        <f>INDEX(PrMatAmt[[aluminium]:[VibrationMotor]],$A95,L$91)*INDEX(MatVolPrice[[Product Name]:[Max Price]],MATCH('Production Calc'!L$92,MatVolPrice[[Product Name]:[Product Name]],0),7)</f>
        <v>0</v>
      </c>
      <c r="M95" s="135">
        <f>INDEX(PrMatAmt[[aluminium]:[VibrationMotor]],$A95,M$91)*INDEX(MatVolPrice[[Product Name]:[Max Price]],MATCH('Production Calc'!M$92,MatVolPrice[[Product Name]:[Product Name]],0),7)</f>
        <v>0</v>
      </c>
      <c r="N95" s="135">
        <f>INDEX(PrMatAmt[[aluminium]:[VibrationMotor]],$A95,N$91)*INDEX(MatVolPrice[[Product Name]:[Max Price]],MATCH('Production Calc'!N$92,MatVolPrice[[Product Name]:[Product Name]],0),7)</f>
        <v>0</v>
      </c>
      <c r="O95" s="135">
        <f>INDEX(PrMatAmt[[aluminium]:[VibrationMotor]],$A95,O$91)*INDEX(MatVolPrice[[Product Name]:[Max Price]],MATCH('Production Calc'!O$92,MatVolPrice[[Product Name]:[Product Name]],0),7)</f>
        <v>0</v>
      </c>
      <c r="P95" s="135">
        <f>SUM(PrMatCost_tbl[[#This Row],[aluminium]:[VibrationMotor]])</f>
        <v>8568000</v>
      </c>
    </row>
    <row r="96" spans="1:30" x14ac:dyDescent="0.3">
      <c r="A96" s="100">
        <v>4</v>
      </c>
      <c r="B96" t="s">
        <v>91</v>
      </c>
      <c r="C96" s="135">
        <f>INDEX(PrMatAmt[[aluminium]:[VibrationMotor]],$A96,C$91)*INDEX(MatVolPrice[[Product Name]:[Max Price]],MATCH('Production Calc'!C$92,MatVolPrice[[Product Name]:[Product Name]],0),7)</f>
        <v>11760000</v>
      </c>
      <c r="D96" s="135">
        <f>INDEX(PrMatAmt[[aluminium]:[VibrationMotor]],$A96,D$91)*INDEX(MatVolPrice[[Product Name]:[Max Price]],MATCH('Production Calc'!D$92,MatVolPrice[[Product Name]:[Product Name]],0),7)</f>
        <v>0</v>
      </c>
      <c r="E96" s="135">
        <f>INDEX(PrMatAmt[[aluminium]:[VibrationMotor]],$A96,E$91)*INDEX(MatVolPrice[[Product Name]:[Max Price]],MATCH('Production Calc'!E$92,MatVolPrice[[Product Name]:[Product Name]],0),7)</f>
        <v>0</v>
      </c>
      <c r="F96" s="135">
        <f>INDEX(PrMatAmt[[aluminium]:[VibrationMotor]],$A96,F$91)*INDEX(MatVolPrice[[Product Name]:[Max Price]],MATCH('Production Calc'!F$92,MatVolPrice[[Product Name]:[Product Name]],0),7)</f>
        <v>0</v>
      </c>
      <c r="G96" s="135">
        <f>INDEX(PrMatAmt[[aluminium]:[VibrationMotor]],$A96,G$91)*INDEX(MatVolPrice[[Product Name]:[Max Price]],MATCH('Production Calc'!G$92,MatVolPrice[[Product Name]:[Product Name]],0),7)</f>
        <v>0</v>
      </c>
      <c r="H96" s="135">
        <f>INDEX(PrMatAmt[[aluminium]:[VibrationMotor]],$A96,H$91)*INDEX(MatVolPrice[[Product Name]:[Max Price]],MATCH('Production Calc'!H$92,MatVolPrice[[Product Name]:[Product Name]],0),7)</f>
        <v>0</v>
      </c>
      <c r="I96" s="135">
        <f>INDEX(PrMatAmt[[aluminium]:[VibrationMotor]],$A96,I$91)*INDEX(MatVolPrice[[Product Name]:[Max Price]],MATCH('Production Calc'!I$92,MatVolPrice[[Product Name]:[Product Name]],0),7)</f>
        <v>0</v>
      </c>
      <c r="J96" s="135">
        <f>INDEX(PrMatAmt[[aluminium]:[VibrationMotor]],$A96,J$91)*INDEX(MatVolPrice[[Product Name]:[Max Price]],MATCH('Production Calc'!J$92,MatVolPrice[[Product Name]:[Product Name]],0),7)</f>
        <v>12600000</v>
      </c>
      <c r="K96" s="135">
        <f>INDEX(PrMatAmt[[aluminium]:[VibrationMotor]],$A96,K$91)*INDEX(MatVolPrice[[Product Name]:[Max Price]],MATCH('Production Calc'!K$92,MatVolPrice[[Product Name]:[Product Name]],0),7)</f>
        <v>0</v>
      </c>
      <c r="L96" s="135">
        <f>INDEX(PrMatAmt[[aluminium]:[VibrationMotor]],$A96,L$91)*INDEX(MatVolPrice[[Product Name]:[Max Price]],MATCH('Production Calc'!L$92,MatVolPrice[[Product Name]:[Product Name]],0),7)</f>
        <v>0</v>
      </c>
      <c r="M96" s="135">
        <f>INDEX(PrMatAmt[[aluminium]:[VibrationMotor]],$A96,M$91)*INDEX(MatVolPrice[[Product Name]:[Max Price]],MATCH('Production Calc'!M$92,MatVolPrice[[Product Name]:[Product Name]],0),7)</f>
        <v>0</v>
      </c>
      <c r="N96" s="135">
        <f>INDEX(PrMatAmt[[aluminium]:[VibrationMotor]],$A96,N$91)*INDEX(MatVolPrice[[Product Name]:[Max Price]],MATCH('Production Calc'!N$92,MatVolPrice[[Product Name]:[Product Name]],0),7)</f>
        <v>0</v>
      </c>
      <c r="O96" s="135">
        <f>INDEX(PrMatAmt[[aluminium]:[VibrationMotor]],$A96,O$91)*INDEX(MatVolPrice[[Product Name]:[Max Price]],MATCH('Production Calc'!O$92,MatVolPrice[[Product Name]:[Product Name]],0),7)</f>
        <v>0</v>
      </c>
      <c r="P96" s="135">
        <f>SUM(PrMatCost_tbl[[#This Row],[aluminium]:[VibrationMotor]])</f>
        <v>24360000</v>
      </c>
    </row>
    <row r="97" spans="1:16" x14ac:dyDescent="0.3">
      <c r="A97" s="100">
        <v>5</v>
      </c>
      <c r="B97" t="s">
        <v>92</v>
      </c>
      <c r="C97" s="135">
        <f>INDEX(PrMatAmt[[aluminium]:[VibrationMotor]],$A97,C$91)*INDEX(MatVolPrice[[Product Name]:[Max Price]],MATCH('Production Calc'!C$92,MatVolPrice[[Product Name]:[Product Name]],0),7)</f>
        <v>0</v>
      </c>
      <c r="D97" s="135">
        <f>INDEX(PrMatAmt[[aluminium]:[VibrationMotor]],$A97,D$91)*INDEX(MatVolPrice[[Product Name]:[Max Price]],MATCH('Production Calc'!D$92,MatVolPrice[[Product Name]:[Product Name]],0),7)</f>
        <v>0</v>
      </c>
      <c r="E97" s="135">
        <f>INDEX(PrMatAmt[[aluminium]:[VibrationMotor]],$A97,E$91)*INDEX(MatVolPrice[[Product Name]:[Max Price]],MATCH('Production Calc'!E$92,MatVolPrice[[Product Name]:[Product Name]],0),7)</f>
        <v>0</v>
      </c>
      <c r="F97" s="135">
        <f>INDEX(PrMatAmt[[aluminium]:[VibrationMotor]],$A97,F$91)*INDEX(MatVolPrice[[Product Name]:[Max Price]],MATCH('Production Calc'!F$92,MatVolPrice[[Product Name]:[Product Name]],0),7)</f>
        <v>5880000</v>
      </c>
      <c r="G97" s="135">
        <f>INDEX(PrMatAmt[[aluminium]:[VibrationMotor]],$A97,G$91)*INDEX(MatVolPrice[[Product Name]:[Max Price]],MATCH('Production Calc'!G$92,MatVolPrice[[Product Name]:[Product Name]],0),7)</f>
        <v>1680000</v>
      </c>
      <c r="H97" s="135">
        <f>INDEX(PrMatAmt[[aluminium]:[VibrationMotor]],$A97,H$91)*INDEX(MatVolPrice[[Product Name]:[Max Price]],MATCH('Production Calc'!H$92,MatVolPrice[[Product Name]:[Product Name]],0),7)</f>
        <v>0</v>
      </c>
      <c r="I97" s="135">
        <f>INDEX(PrMatAmt[[aluminium]:[VibrationMotor]],$A97,I$91)*INDEX(MatVolPrice[[Product Name]:[Max Price]],MATCH('Production Calc'!I$92,MatVolPrice[[Product Name]:[Product Name]],0),7)</f>
        <v>0</v>
      </c>
      <c r="J97" s="135">
        <f>INDEX(PrMatAmt[[aluminium]:[VibrationMotor]],$A97,J$91)*INDEX(MatVolPrice[[Product Name]:[Max Price]],MATCH('Production Calc'!J$92,MatVolPrice[[Product Name]:[Product Name]],0),7)</f>
        <v>3780000</v>
      </c>
      <c r="K97" s="135">
        <f>INDEX(PrMatAmt[[aluminium]:[VibrationMotor]],$A97,K$91)*INDEX(MatVolPrice[[Product Name]:[Max Price]],MATCH('Production Calc'!K$92,MatVolPrice[[Product Name]:[Product Name]],0),7)</f>
        <v>0</v>
      </c>
      <c r="L97" s="135">
        <f>INDEX(PrMatAmt[[aluminium]:[VibrationMotor]],$A97,L$91)*INDEX(MatVolPrice[[Product Name]:[Max Price]],MATCH('Production Calc'!L$92,MatVolPrice[[Product Name]:[Product Name]],0),7)</f>
        <v>0</v>
      </c>
      <c r="M97" s="135">
        <f>INDEX(PrMatAmt[[aluminium]:[VibrationMotor]],$A97,M$91)*INDEX(MatVolPrice[[Product Name]:[Max Price]],MATCH('Production Calc'!M$92,MatVolPrice[[Product Name]:[Product Name]],0),7)</f>
        <v>0</v>
      </c>
      <c r="N97" s="135">
        <f>INDEX(PrMatAmt[[aluminium]:[VibrationMotor]],$A97,N$91)*INDEX(MatVolPrice[[Product Name]:[Max Price]],MATCH('Production Calc'!N$92,MatVolPrice[[Product Name]:[Product Name]],0),7)</f>
        <v>0</v>
      </c>
      <c r="O97" s="135">
        <f>INDEX(PrMatAmt[[aluminium]:[VibrationMotor]],$A97,O$91)*INDEX(MatVolPrice[[Product Name]:[Max Price]],MATCH('Production Calc'!O$92,MatVolPrice[[Product Name]:[Product Name]],0),7)</f>
        <v>0</v>
      </c>
      <c r="P97" s="135">
        <f>SUM(PrMatCost_tbl[[#This Row],[aluminium]:[VibrationMotor]])</f>
        <v>11340000</v>
      </c>
    </row>
    <row r="98" spans="1:16" x14ac:dyDescent="0.3">
      <c r="A98" s="100">
        <v>6</v>
      </c>
      <c r="B98" t="s">
        <v>93</v>
      </c>
      <c r="C98" s="135">
        <f>INDEX(PrMatAmt[[aluminium]:[VibrationMotor]],$A98,C$91)*INDEX(MatVolPrice[[Product Name]:[Max Price]],MATCH('Production Calc'!C$92,MatVolPrice[[Product Name]:[Product Name]],0),7)</f>
        <v>3360000</v>
      </c>
      <c r="D98" s="135">
        <f>INDEX(PrMatAmt[[aluminium]:[VibrationMotor]],$A98,D$91)*INDEX(MatVolPrice[[Product Name]:[Max Price]],MATCH('Production Calc'!D$92,MatVolPrice[[Product Name]:[Product Name]],0),7)</f>
        <v>0</v>
      </c>
      <c r="E98" s="135">
        <f>INDEX(PrMatAmt[[aluminium]:[VibrationMotor]],$A98,E$91)*INDEX(MatVolPrice[[Product Name]:[Max Price]],MATCH('Production Calc'!E$92,MatVolPrice[[Product Name]:[Product Name]],0),7)</f>
        <v>0</v>
      </c>
      <c r="F98" s="135">
        <f>INDEX(PrMatAmt[[aluminium]:[VibrationMotor]],$A98,F$91)*INDEX(MatVolPrice[[Product Name]:[Max Price]],MATCH('Production Calc'!F$92,MatVolPrice[[Product Name]:[Product Name]],0),7)</f>
        <v>4410000</v>
      </c>
      <c r="G98" s="135">
        <f>INDEX(PrMatAmt[[aluminium]:[VibrationMotor]],$A98,G$91)*INDEX(MatVolPrice[[Product Name]:[Max Price]],MATCH('Production Calc'!G$92,MatVolPrice[[Product Name]:[Product Name]],0),7)</f>
        <v>0</v>
      </c>
      <c r="H98" s="135">
        <f>INDEX(PrMatAmt[[aluminium]:[VibrationMotor]],$A98,H$91)*INDEX(MatVolPrice[[Product Name]:[Max Price]],MATCH('Production Calc'!H$92,MatVolPrice[[Product Name]:[Product Name]],0),7)</f>
        <v>0</v>
      </c>
      <c r="I98" s="135">
        <f>INDEX(PrMatAmt[[aluminium]:[VibrationMotor]],$A98,I$91)*INDEX(MatVolPrice[[Product Name]:[Max Price]],MATCH('Production Calc'!I$92,MatVolPrice[[Product Name]:[Product Name]],0),7)</f>
        <v>0</v>
      </c>
      <c r="J98" s="135">
        <f>INDEX(PrMatAmt[[aluminium]:[VibrationMotor]],$A98,J$91)*INDEX(MatVolPrice[[Product Name]:[Max Price]],MATCH('Production Calc'!J$92,MatVolPrice[[Product Name]:[Product Name]],0),7)</f>
        <v>1470000</v>
      </c>
      <c r="K98" s="135">
        <f>INDEX(PrMatAmt[[aluminium]:[VibrationMotor]],$A98,K$91)*INDEX(MatVolPrice[[Product Name]:[Max Price]],MATCH('Production Calc'!K$92,MatVolPrice[[Product Name]:[Product Name]],0),7)</f>
        <v>0</v>
      </c>
      <c r="L98" s="135">
        <f>INDEX(PrMatAmt[[aluminium]:[VibrationMotor]],$A98,L$91)*INDEX(MatVolPrice[[Product Name]:[Max Price]],MATCH('Production Calc'!L$92,MatVolPrice[[Product Name]:[Product Name]],0),7)</f>
        <v>0</v>
      </c>
      <c r="M98" s="135">
        <f>INDEX(PrMatAmt[[aluminium]:[VibrationMotor]],$A98,M$91)*INDEX(MatVolPrice[[Product Name]:[Max Price]],MATCH('Production Calc'!M$92,MatVolPrice[[Product Name]:[Product Name]],0),7)</f>
        <v>0</v>
      </c>
      <c r="N98" s="135">
        <f>INDEX(PrMatAmt[[aluminium]:[VibrationMotor]],$A98,N$91)*INDEX(MatVolPrice[[Product Name]:[Max Price]],MATCH('Production Calc'!N$92,MatVolPrice[[Product Name]:[Product Name]],0),7)</f>
        <v>0</v>
      </c>
      <c r="O98" s="135">
        <f>INDEX(PrMatAmt[[aluminium]:[VibrationMotor]],$A98,O$91)*INDEX(MatVolPrice[[Product Name]:[Max Price]],MATCH('Production Calc'!O$92,MatVolPrice[[Product Name]:[Product Name]],0),7)</f>
        <v>0</v>
      </c>
      <c r="P98" s="135">
        <f>SUM(PrMatCost_tbl[[#This Row],[aluminium]:[VibrationMotor]])</f>
        <v>9240000</v>
      </c>
    </row>
    <row r="99" spans="1:16" x14ac:dyDescent="0.3">
      <c r="A99" s="100">
        <v>7</v>
      </c>
      <c r="B99" t="s">
        <v>94</v>
      </c>
      <c r="C99" s="135">
        <f>INDEX(PrMatAmt[[aluminium]:[VibrationMotor]],$A99,C$91)*INDEX(MatVolPrice[[Product Name]:[Max Price]],MATCH('Production Calc'!C$92,MatVolPrice[[Product Name]:[Product Name]],0),7)</f>
        <v>8400000</v>
      </c>
      <c r="D99" s="135">
        <f>INDEX(PrMatAmt[[aluminium]:[VibrationMotor]],$A99,D$91)*INDEX(MatVolPrice[[Product Name]:[Max Price]],MATCH('Production Calc'!D$92,MatVolPrice[[Product Name]:[Product Name]],0),7)</f>
        <v>0</v>
      </c>
      <c r="E99" s="135">
        <f>INDEX(PrMatAmt[[aluminium]:[VibrationMotor]],$A99,E$91)*INDEX(MatVolPrice[[Product Name]:[Max Price]],MATCH('Production Calc'!E$92,MatVolPrice[[Product Name]:[Product Name]],0),7)</f>
        <v>0</v>
      </c>
      <c r="F99" s="135">
        <f>INDEX(PrMatAmt[[aluminium]:[VibrationMotor]],$A99,F$91)*INDEX(MatVolPrice[[Product Name]:[Max Price]],MATCH('Production Calc'!F$92,MatVolPrice[[Product Name]:[Product Name]],0),7)</f>
        <v>0</v>
      </c>
      <c r="G99" s="135">
        <f>INDEX(PrMatAmt[[aluminium]:[VibrationMotor]],$A99,G$91)*INDEX(MatVolPrice[[Product Name]:[Max Price]],MATCH('Production Calc'!G$92,MatVolPrice[[Product Name]:[Product Name]],0),7)</f>
        <v>0</v>
      </c>
      <c r="H99" s="135">
        <f>INDEX(PrMatAmt[[aluminium]:[VibrationMotor]],$A99,H$91)*INDEX(MatVolPrice[[Product Name]:[Max Price]],MATCH('Production Calc'!H$92,MatVolPrice[[Product Name]:[Product Name]],0),7)</f>
        <v>0</v>
      </c>
      <c r="I99" s="135">
        <f>INDEX(PrMatAmt[[aluminium]:[VibrationMotor]],$A99,I$91)*INDEX(MatVolPrice[[Product Name]:[Max Price]],MATCH('Production Calc'!I$92,MatVolPrice[[Product Name]:[Product Name]],0),7)</f>
        <v>0</v>
      </c>
      <c r="J99" s="135">
        <f>INDEX(PrMatAmt[[aluminium]:[VibrationMotor]],$A99,J$91)*INDEX(MatVolPrice[[Product Name]:[Max Price]],MATCH('Production Calc'!J$92,MatVolPrice[[Product Name]:[Product Name]],0),7)</f>
        <v>5040000</v>
      </c>
      <c r="K99" s="135">
        <f>INDEX(PrMatAmt[[aluminium]:[VibrationMotor]],$A99,K$91)*INDEX(MatVolPrice[[Product Name]:[Max Price]],MATCH('Production Calc'!K$92,MatVolPrice[[Product Name]:[Product Name]],0),7)</f>
        <v>0</v>
      </c>
      <c r="L99" s="135">
        <f>INDEX(PrMatAmt[[aluminium]:[VibrationMotor]],$A99,L$91)*INDEX(MatVolPrice[[Product Name]:[Max Price]],MATCH('Production Calc'!L$92,MatVolPrice[[Product Name]:[Product Name]],0),7)</f>
        <v>0</v>
      </c>
      <c r="M99" s="135">
        <f>INDEX(PrMatAmt[[aluminium]:[VibrationMotor]],$A99,M$91)*INDEX(MatVolPrice[[Product Name]:[Max Price]],MATCH('Production Calc'!M$92,MatVolPrice[[Product Name]:[Product Name]],0),7)</f>
        <v>0</v>
      </c>
      <c r="N99" s="135">
        <f>INDEX(PrMatAmt[[aluminium]:[VibrationMotor]],$A99,N$91)*INDEX(MatVolPrice[[Product Name]:[Max Price]],MATCH('Production Calc'!N$92,MatVolPrice[[Product Name]:[Product Name]],0),7)</f>
        <v>0</v>
      </c>
      <c r="O99" s="135">
        <f>INDEX(PrMatAmt[[aluminium]:[VibrationMotor]],$A99,O$91)*INDEX(MatVolPrice[[Product Name]:[Max Price]],MATCH('Production Calc'!O$92,MatVolPrice[[Product Name]:[Product Name]],0),7)</f>
        <v>0</v>
      </c>
      <c r="P99" s="135">
        <f>SUM(PrMatCost_tbl[[#This Row],[aluminium]:[VibrationMotor]])</f>
        <v>13440000</v>
      </c>
    </row>
    <row r="100" spans="1:16" x14ac:dyDescent="0.3">
      <c r="A100" s="100">
        <v>8</v>
      </c>
      <c r="B100" t="s">
        <v>95</v>
      </c>
      <c r="C100" s="135">
        <f>INDEX(PrMatAmt[[aluminium]:[VibrationMotor]],$A100,C$91)*INDEX(MatVolPrice[[Product Name]:[Max Price]],MATCH('Production Calc'!C$92,MatVolPrice[[Product Name]:[Product Name]],0),7)</f>
        <v>15120000</v>
      </c>
      <c r="D100" s="135">
        <f>INDEX(PrMatAmt[[aluminium]:[VibrationMotor]],$A100,D$91)*INDEX(MatVolPrice[[Product Name]:[Max Price]],MATCH('Production Calc'!D$92,MatVolPrice[[Product Name]:[Product Name]],0),7)</f>
        <v>0</v>
      </c>
      <c r="E100" s="135">
        <f>INDEX(PrMatAmt[[aluminium]:[VibrationMotor]],$A100,E$91)*INDEX(MatVolPrice[[Product Name]:[Max Price]],MATCH('Production Calc'!E$92,MatVolPrice[[Product Name]:[Product Name]],0),7)</f>
        <v>0</v>
      </c>
      <c r="F100" s="135">
        <f>INDEX(PrMatAmt[[aluminium]:[VibrationMotor]],$A100,F$91)*INDEX(MatVolPrice[[Product Name]:[Max Price]],MATCH('Production Calc'!F$92,MatVolPrice[[Product Name]:[Product Name]],0),7)</f>
        <v>0</v>
      </c>
      <c r="G100" s="135">
        <f>INDEX(PrMatAmt[[aluminium]:[VibrationMotor]],$A100,G$91)*INDEX(MatVolPrice[[Product Name]:[Max Price]],MATCH('Production Calc'!G$92,MatVolPrice[[Product Name]:[Product Name]],0),7)</f>
        <v>18900000</v>
      </c>
      <c r="H100" s="135">
        <f>INDEX(PrMatAmt[[aluminium]:[VibrationMotor]],$A100,H$91)*INDEX(MatVolPrice[[Product Name]:[Max Price]],MATCH('Production Calc'!H$92,MatVolPrice[[Product Name]:[Product Name]],0),7)</f>
        <v>0</v>
      </c>
      <c r="I100" s="135">
        <f>INDEX(PrMatAmt[[aluminium]:[VibrationMotor]],$A100,I$91)*INDEX(MatVolPrice[[Product Name]:[Max Price]],MATCH('Production Calc'!I$92,MatVolPrice[[Product Name]:[Product Name]],0),7)</f>
        <v>0</v>
      </c>
      <c r="J100" s="135">
        <f>INDEX(PrMatAmt[[aluminium]:[VibrationMotor]],$A100,J$91)*INDEX(MatVolPrice[[Product Name]:[Max Price]],MATCH('Production Calc'!J$92,MatVolPrice[[Product Name]:[Product Name]],0),7)</f>
        <v>0</v>
      </c>
      <c r="K100" s="135">
        <f>INDEX(PrMatAmt[[aluminium]:[VibrationMotor]],$A100,K$91)*INDEX(MatVolPrice[[Product Name]:[Max Price]],MATCH('Production Calc'!K$92,MatVolPrice[[Product Name]:[Product Name]],0),7)</f>
        <v>0</v>
      </c>
      <c r="L100" s="135">
        <f>INDEX(PrMatAmt[[aluminium]:[VibrationMotor]],$A100,L$91)*INDEX(MatVolPrice[[Product Name]:[Max Price]],MATCH('Production Calc'!L$92,MatVolPrice[[Product Name]:[Product Name]],0),7)</f>
        <v>0</v>
      </c>
      <c r="M100" s="135">
        <f>INDEX(PrMatAmt[[aluminium]:[VibrationMotor]],$A100,M$91)*INDEX(MatVolPrice[[Product Name]:[Max Price]],MATCH('Production Calc'!M$92,MatVolPrice[[Product Name]:[Product Name]],0),7)</f>
        <v>6720000</v>
      </c>
      <c r="N100" s="135">
        <f>INDEX(PrMatAmt[[aluminium]:[VibrationMotor]],$A100,N$91)*INDEX(MatVolPrice[[Product Name]:[Max Price]],MATCH('Production Calc'!N$92,MatVolPrice[[Product Name]:[Product Name]],0),7)</f>
        <v>0</v>
      </c>
      <c r="O100" s="135">
        <f>INDEX(PrMatAmt[[aluminium]:[VibrationMotor]],$A100,O$91)*INDEX(MatVolPrice[[Product Name]:[Max Price]],MATCH('Production Calc'!O$92,MatVolPrice[[Product Name]:[Product Name]],0),7)</f>
        <v>0</v>
      </c>
      <c r="P100" s="135">
        <f>SUM(PrMatCost_tbl[[#This Row],[aluminium]:[VibrationMotor]])</f>
        <v>40740000</v>
      </c>
    </row>
    <row r="103" spans="1:16" x14ac:dyDescent="0.3">
      <c r="A103" s="119" t="s">
        <v>129</v>
      </c>
    </row>
    <row r="105" spans="1:16" x14ac:dyDescent="0.3">
      <c r="A105" t="s">
        <v>2</v>
      </c>
      <c r="B105" t="s">
        <v>5</v>
      </c>
      <c r="C105" t="s">
        <v>134</v>
      </c>
      <c r="D105" t="s">
        <v>56</v>
      </c>
      <c r="F105" t="s">
        <v>2</v>
      </c>
      <c r="G105" t="s">
        <v>135</v>
      </c>
    </row>
    <row r="106" spans="1:16" x14ac:dyDescent="0.3">
      <c r="A106" t="s">
        <v>88</v>
      </c>
      <c r="B106" s="99">
        <f>INDEX(MatVolPrice[[Product Name]:[Variable Cost]],MATCH('Production Calc'!$A106,MatVolPrice[[Product Name]:[Product Name]],0),5)</f>
        <v>50000</v>
      </c>
      <c r="C106" s="99">
        <f>INDEX(MatVolPrice[[Product Name]:[Variable Cost]],MATCH('Production Calc'!$A106,MatVolPrice[[Product Name]:[Product Name]],0),6)</f>
        <v>50</v>
      </c>
      <c r="D106" s="136">
        <f t="shared" ref="D106:D113" si="0">B106+C106*$Q$2*$S$2</f>
        <v>4250000</v>
      </c>
      <c r="F106" t="s">
        <v>88</v>
      </c>
      <c r="G106" s="137">
        <f>PrCost_tbl[[#This Row],[Cost]]+P93</f>
        <v>10970000</v>
      </c>
    </row>
    <row r="107" spans="1:16" x14ac:dyDescent="0.3">
      <c r="A107" t="s">
        <v>89</v>
      </c>
      <c r="B107" s="99">
        <f>INDEX(MatVolPrice[[Product Name]:[Variable Cost]],MATCH('Production Calc'!$A107,MatVolPrice[[Product Name]:[Product Name]],0),5)</f>
        <v>70000</v>
      </c>
      <c r="C107" s="99">
        <f>INDEX(MatVolPrice[[Product Name]:[Variable Cost]],MATCH('Production Calc'!$A107,MatVolPrice[[Product Name]:[Product Name]],0),6)</f>
        <v>93</v>
      </c>
      <c r="D107" s="136">
        <f t="shared" si="0"/>
        <v>7882000</v>
      </c>
      <c r="F107" t="s">
        <v>89</v>
      </c>
      <c r="G107" s="137">
        <f>PrCost_tbl[[#This Row],[Cost]]+P94</f>
        <v>21322000</v>
      </c>
    </row>
    <row r="108" spans="1:16" x14ac:dyDescent="0.3">
      <c r="A108" t="s">
        <v>90</v>
      </c>
      <c r="B108" s="99">
        <f>INDEX(MatVolPrice[[Product Name]:[Variable Cost]],MATCH('Production Calc'!$A108,MatVolPrice[[Product Name]:[Product Name]],0),5)</f>
        <v>190000</v>
      </c>
      <c r="C108" s="99">
        <f>INDEX(MatVolPrice[[Product Name]:[Variable Cost]],MATCH('Production Calc'!$A108,MatVolPrice[[Product Name]:[Product Name]],0),6)</f>
        <v>61</v>
      </c>
      <c r="D108" s="136">
        <f t="shared" si="0"/>
        <v>5314000</v>
      </c>
      <c r="F108" t="s">
        <v>90</v>
      </c>
      <c r="G108" s="137">
        <f>PrCost_tbl[[#This Row],[Cost]]+P95</f>
        <v>13882000</v>
      </c>
    </row>
    <row r="109" spans="1:16" x14ac:dyDescent="0.3">
      <c r="A109" t="s">
        <v>91</v>
      </c>
      <c r="B109" s="99">
        <f>INDEX(MatVolPrice[[Product Name]:[Variable Cost]],MATCH('Production Calc'!$A109,MatVolPrice[[Product Name]:[Product Name]],0),5)</f>
        <v>200000</v>
      </c>
      <c r="C109" s="99">
        <f>INDEX(MatVolPrice[[Product Name]:[Variable Cost]],MATCH('Production Calc'!$A109,MatVolPrice[[Product Name]:[Product Name]],0),6)</f>
        <v>174</v>
      </c>
      <c r="D109" s="136">
        <f t="shared" si="0"/>
        <v>14816000</v>
      </c>
      <c r="F109" t="s">
        <v>91</v>
      </c>
      <c r="G109" s="137">
        <f>PrCost_tbl[[#This Row],[Cost]]+P96</f>
        <v>39176000</v>
      </c>
    </row>
    <row r="110" spans="1:16" x14ac:dyDescent="0.3">
      <c r="A110" t="s">
        <v>92</v>
      </c>
      <c r="B110" s="99">
        <f>INDEX(MatVolPrice[[Product Name]:[Variable Cost]],MATCH('Production Calc'!$A110,MatVolPrice[[Product Name]:[Product Name]],0),5)</f>
        <v>280000</v>
      </c>
      <c r="C110" s="99">
        <f>INDEX(MatVolPrice[[Product Name]:[Variable Cost]],MATCH('Production Calc'!$A110,MatVolPrice[[Product Name]:[Product Name]],0),6)</f>
        <v>76</v>
      </c>
      <c r="D110" s="136">
        <f t="shared" si="0"/>
        <v>6664000</v>
      </c>
      <c r="F110" t="s">
        <v>92</v>
      </c>
      <c r="G110" s="137">
        <f>PrCost_tbl[[#This Row],[Cost]]+P97</f>
        <v>18004000</v>
      </c>
    </row>
    <row r="111" spans="1:16" x14ac:dyDescent="0.3">
      <c r="A111" t="s">
        <v>93</v>
      </c>
      <c r="B111" s="99">
        <f>INDEX(MatVolPrice[[Product Name]:[Variable Cost]],MATCH('Production Calc'!$A111,MatVolPrice[[Product Name]:[Product Name]],0),5)</f>
        <v>90000</v>
      </c>
      <c r="C111" s="99">
        <f>INDEX(MatVolPrice[[Product Name]:[Variable Cost]],MATCH('Production Calc'!$A111,MatVolPrice[[Product Name]:[Product Name]],0),6)</f>
        <v>68</v>
      </c>
      <c r="D111" s="136">
        <f t="shared" si="0"/>
        <v>5802000</v>
      </c>
      <c r="F111" t="s">
        <v>93</v>
      </c>
      <c r="G111" s="137">
        <f>PrCost_tbl[[#This Row],[Cost]]+P98</f>
        <v>15042000</v>
      </c>
    </row>
    <row r="112" spans="1:16" x14ac:dyDescent="0.3">
      <c r="A112" t="s">
        <v>94</v>
      </c>
      <c r="B112" s="99">
        <f>INDEX(MatVolPrice[[Product Name]:[Variable Cost]],MATCH('Production Calc'!$A112,MatVolPrice[[Product Name]:[Product Name]],0),5)</f>
        <v>340000</v>
      </c>
      <c r="C112" s="99">
        <f>INDEX(MatVolPrice[[Product Name]:[Variable Cost]],MATCH('Production Calc'!$A112,MatVolPrice[[Product Name]:[Product Name]],0),6)</f>
        <v>102</v>
      </c>
      <c r="D112" s="136">
        <f t="shared" si="0"/>
        <v>8908000</v>
      </c>
      <c r="F112" t="s">
        <v>94</v>
      </c>
      <c r="G112" s="137">
        <f>PrCost_tbl[[#This Row],[Cost]]+P99</f>
        <v>22348000</v>
      </c>
    </row>
    <row r="113" spans="1:11" x14ac:dyDescent="0.3">
      <c r="A113" t="s">
        <v>95</v>
      </c>
      <c r="B113" s="99">
        <f>INDEX(MatVolPrice[[Product Name]:[Variable Cost]],MATCH('Production Calc'!$A113,MatVolPrice[[Product Name]:[Product Name]],0),5)</f>
        <v>1020000</v>
      </c>
      <c r="C113" s="99">
        <f>INDEX(MatVolPrice[[Product Name]:[Variable Cost]],MATCH('Production Calc'!$A113,MatVolPrice[[Product Name]:[Product Name]],0),6)</f>
        <v>291</v>
      </c>
      <c r="D113" s="136">
        <f t="shared" si="0"/>
        <v>25464000</v>
      </c>
      <c r="F113" t="s">
        <v>95</v>
      </c>
      <c r="G113" s="137">
        <f>PrCost_tbl[[#This Row],[Cost]]+P100</f>
        <v>66204000</v>
      </c>
    </row>
    <row r="116" spans="1:11" x14ac:dyDescent="0.3">
      <c r="A116" t="s">
        <v>2</v>
      </c>
      <c r="B116" t="s">
        <v>7</v>
      </c>
      <c r="C116" t="s">
        <v>8</v>
      </c>
      <c r="D116" t="s">
        <v>137</v>
      </c>
      <c r="E116" t="s">
        <v>138</v>
      </c>
      <c r="F116" t="s">
        <v>139</v>
      </c>
      <c r="G116" t="s">
        <v>140</v>
      </c>
      <c r="I116" t="s">
        <v>2</v>
      </c>
      <c r="J116" t="s">
        <v>150</v>
      </c>
      <c r="K116" t="s">
        <v>151</v>
      </c>
    </row>
    <row r="117" spans="1:11" x14ac:dyDescent="0.3">
      <c r="A117" t="s">
        <v>88</v>
      </c>
      <c r="B117" s="99">
        <f>INDEX(MatVolPrice[[Product Name]:[Max Price]],MATCH('Production Calc'!$A117,MatVolPrice[[Product Name]:[Product Name]],0),7)</f>
        <v>780</v>
      </c>
      <c r="C117" s="99">
        <f>INDEX(MatVolPrice[[Product Name]:[Max Price]],MATCH('Production Calc'!$A117,MatVolPrice[[Product Name]:[Product Name]],0),8)</f>
        <v>1020</v>
      </c>
      <c r="D117" s="99">
        <f>B117*$Q$2-G106</f>
        <v>21790000</v>
      </c>
      <c r="E117" s="99">
        <f t="shared" ref="E117:E124" si="1">C117*$Q$2-$G106</f>
        <v>31870000</v>
      </c>
      <c r="F117" s="138">
        <f t="shared" ref="F117:F124" si="2">D117/$G106</f>
        <v>1.9863263445761168</v>
      </c>
      <c r="G117" s="138">
        <f t="shared" ref="G117:G124" si="3">E117/$G106</f>
        <v>2.9051959890610757</v>
      </c>
      <c r="I117" t="s">
        <v>117</v>
      </c>
      <c r="J117">
        <v>100</v>
      </c>
      <c r="K117">
        <f>30*PrRate_tbl[[#This Row],[Production Rate]]</f>
        <v>3000</v>
      </c>
    </row>
    <row r="118" spans="1:11" x14ac:dyDescent="0.3">
      <c r="A118" t="s">
        <v>89</v>
      </c>
      <c r="B118" s="99">
        <f>INDEX(MatVolPrice[[Product Name]:[Max Price]],MATCH('Production Calc'!$A118,MatVolPrice[[Product Name]:[Product Name]],0),7)</f>
        <v>1260</v>
      </c>
      <c r="C118" s="99">
        <f>INDEX(MatVolPrice[[Product Name]:[Max Price]],MATCH('Production Calc'!$A118,MatVolPrice[[Product Name]:[Product Name]],0),8)</f>
        <v>1640</v>
      </c>
      <c r="D118" s="99">
        <f t="shared" ref="D118:D124" si="4">B118*$Q$2-$G107</f>
        <v>31598000</v>
      </c>
      <c r="E118" s="99">
        <f t="shared" si="1"/>
        <v>47558000</v>
      </c>
      <c r="F118" s="138">
        <f t="shared" si="2"/>
        <v>1.4819435325016415</v>
      </c>
      <c r="G118" s="138">
        <f t="shared" si="3"/>
        <v>2.2304661851608669</v>
      </c>
      <c r="I118" t="s">
        <v>89</v>
      </c>
      <c r="J118">
        <v>80</v>
      </c>
      <c r="K118">
        <f>30*PrRate_tbl[[#This Row],[Production Rate]]</f>
        <v>2400</v>
      </c>
    </row>
    <row r="119" spans="1:11" x14ac:dyDescent="0.3">
      <c r="A119" t="s">
        <v>90</v>
      </c>
      <c r="B119" s="99">
        <f>INDEX(MatVolPrice[[Product Name]:[Max Price]],MATCH('Production Calc'!$A119,MatVolPrice[[Product Name]:[Product Name]],0),7)</f>
        <v>660</v>
      </c>
      <c r="C119" s="99">
        <f>INDEX(MatVolPrice[[Product Name]:[Max Price]],MATCH('Production Calc'!$A119,MatVolPrice[[Product Name]:[Product Name]],0),8)</f>
        <v>860</v>
      </c>
      <c r="D119" s="99">
        <f t="shared" si="4"/>
        <v>13838000</v>
      </c>
      <c r="E119" s="99">
        <f t="shared" si="1"/>
        <v>22238000</v>
      </c>
      <c r="F119" s="138">
        <f t="shared" si="2"/>
        <v>0.99683042789223453</v>
      </c>
      <c r="G119" s="138">
        <f t="shared" si="3"/>
        <v>1.6019305575565481</v>
      </c>
      <c r="I119" t="s">
        <v>118</v>
      </c>
      <c r="J119">
        <v>210</v>
      </c>
      <c r="K119">
        <f>30*PrRate_tbl[[#This Row],[Production Rate]]</f>
        <v>6300</v>
      </c>
    </row>
    <row r="120" spans="1:11" x14ac:dyDescent="0.3">
      <c r="A120" t="s">
        <v>91</v>
      </c>
      <c r="B120" s="99">
        <f>INDEX(MatVolPrice[[Product Name]:[Max Price]],MATCH('Production Calc'!$A120,MatVolPrice[[Product Name]:[Product Name]],0),7)</f>
        <v>1730</v>
      </c>
      <c r="C120" s="99">
        <f>INDEX(MatVolPrice[[Product Name]:[Max Price]],MATCH('Production Calc'!$A120,MatVolPrice[[Product Name]:[Product Name]],0),8)</f>
        <v>2240</v>
      </c>
      <c r="D120" s="99">
        <f t="shared" si="4"/>
        <v>33484000</v>
      </c>
      <c r="E120" s="99">
        <f t="shared" si="1"/>
        <v>54904000</v>
      </c>
      <c r="F120" s="138">
        <f t="shared" si="2"/>
        <v>0.85470696344700836</v>
      </c>
      <c r="G120" s="138">
        <f t="shared" si="3"/>
        <v>1.4014702879313865</v>
      </c>
      <c r="I120" t="s">
        <v>91</v>
      </c>
      <c r="J120">
        <v>80</v>
      </c>
      <c r="K120">
        <f>30*PrRate_tbl[[#This Row],[Production Rate]]</f>
        <v>2400</v>
      </c>
    </row>
    <row r="121" spans="1:11" x14ac:dyDescent="0.3">
      <c r="A121" t="s">
        <v>92</v>
      </c>
      <c r="B121" s="99">
        <f>INDEX(MatVolPrice[[Product Name]:[Max Price]],MATCH('Production Calc'!$A121,MatVolPrice[[Product Name]:[Product Name]],0),7)</f>
        <v>670</v>
      </c>
      <c r="C121" s="99">
        <f>INDEX(MatVolPrice[[Product Name]:[Max Price]],MATCH('Production Calc'!$A121,MatVolPrice[[Product Name]:[Product Name]],0),8)</f>
        <v>870</v>
      </c>
      <c r="D121" s="99">
        <f t="shared" si="4"/>
        <v>10136000</v>
      </c>
      <c r="E121" s="99">
        <f t="shared" si="1"/>
        <v>18536000</v>
      </c>
      <c r="F121" s="138">
        <f t="shared" si="2"/>
        <v>0.56298600311041991</v>
      </c>
      <c r="G121" s="138">
        <f t="shared" si="3"/>
        <v>1.0295489891135303</v>
      </c>
      <c r="I121" t="s">
        <v>49</v>
      </c>
      <c r="J121">
        <v>350</v>
      </c>
      <c r="K121">
        <f>30*PrRate_tbl[[#This Row],[Production Rate]]</f>
        <v>10500</v>
      </c>
    </row>
    <row r="122" spans="1:11" x14ac:dyDescent="0.3">
      <c r="A122" t="s">
        <v>93</v>
      </c>
      <c r="B122" s="99">
        <f>INDEX(MatVolPrice[[Product Name]:[Max Price]],MATCH('Production Calc'!$A122,MatVolPrice[[Product Name]:[Product Name]],0),7)</f>
        <v>1120</v>
      </c>
      <c r="C122" s="99">
        <f>INDEX(MatVolPrice[[Product Name]:[Max Price]],MATCH('Production Calc'!$A122,MatVolPrice[[Product Name]:[Product Name]],0),8)</f>
        <v>1460</v>
      </c>
      <c r="D122" s="99">
        <f t="shared" si="4"/>
        <v>31998000</v>
      </c>
      <c r="E122" s="99">
        <f t="shared" si="1"/>
        <v>46278000</v>
      </c>
      <c r="F122" s="138">
        <f t="shared" si="2"/>
        <v>2.1272437175907459</v>
      </c>
      <c r="G122" s="138">
        <f t="shared" si="3"/>
        <v>3.0765855604307939</v>
      </c>
      <c r="I122" t="s">
        <v>121</v>
      </c>
      <c r="J122">
        <v>90</v>
      </c>
      <c r="K122">
        <f>30*PrRate_tbl[[#This Row],[Production Rate]]</f>
        <v>2700</v>
      </c>
    </row>
    <row r="123" spans="1:11" x14ac:dyDescent="0.3">
      <c r="A123" t="s">
        <v>94</v>
      </c>
      <c r="B123" s="99">
        <f>INDEX(MatVolPrice[[Product Name]:[Max Price]],MATCH('Production Calc'!$A123,MatVolPrice[[Product Name]:[Product Name]],0),7)</f>
        <v>910</v>
      </c>
      <c r="C123" s="99">
        <f>INDEX(MatVolPrice[[Product Name]:[Max Price]],MATCH('Production Calc'!$A123,MatVolPrice[[Product Name]:[Product Name]],0),8)</f>
        <v>1190</v>
      </c>
      <c r="D123" s="99">
        <f t="shared" si="4"/>
        <v>15872000</v>
      </c>
      <c r="E123" s="99">
        <f t="shared" si="1"/>
        <v>27632000</v>
      </c>
      <c r="F123" s="138">
        <f t="shared" si="2"/>
        <v>0.71022015392876325</v>
      </c>
      <c r="G123" s="138">
        <f t="shared" si="3"/>
        <v>1.2364417397529981</v>
      </c>
      <c r="I123" t="s">
        <v>122</v>
      </c>
      <c r="J123">
        <v>240</v>
      </c>
      <c r="K123">
        <f>30*PrRate_tbl[[#This Row],[Production Rate]]</f>
        <v>7200</v>
      </c>
    </row>
    <row r="124" spans="1:11" x14ac:dyDescent="0.3">
      <c r="A124" t="s">
        <v>95</v>
      </c>
      <c r="B124" s="99">
        <f>INDEX(MatVolPrice[[Product Name]:[Max Price]],MATCH('Production Calc'!$A124,MatVolPrice[[Product Name]:[Product Name]],0),7)</f>
        <v>2060</v>
      </c>
      <c r="C124" s="99">
        <f>INDEX(MatVolPrice[[Product Name]:[Max Price]],MATCH('Production Calc'!$A124,MatVolPrice[[Product Name]:[Product Name]],0),8)</f>
        <v>2670</v>
      </c>
      <c r="D124" s="99">
        <f t="shared" si="4"/>
        <v>20316000</v>
      </c>
      <c r="E124" s="99">
        <f t="shared" si="1"/>
        <v>45936000</v>
      </c>
      <c r="F124" s="138">
        <f t="shared" si="2"/>
        <v>0.30686967554830524</v>
      </c>
      <c r="G124" s="138">
        <f t="shared" si="3"/>
        <v>0.69385535617183247</v>
      </c>
      <c r="I124" t="s">
        <v>123</v>
      </c>
      <c r="J124">
        <v>230</v>
      </c>
      <c r="K124">
        <f>30*PrRate_tbl[[#This Row],[Production Rate]]</f>
        <v>6900</v>
      </c>
    </row>
    <row r="126" spans="1:11" x14ac:dyDescent="0.3">
      <c r="B126" s="101"/>
    </row>
    <row r="127" spans="1:11" x14ac:dyDescent="0.3">
      <c r="A127" s="119" t="s">
        <v>152</v>
      </c>
    </row>
    <row r="129" spans="1:11" x14ac:dyDescent="0.3">
      <c r="A129" s="147" t="s">
        <v>2</v>
      </c>
      <c r="B129" s="147" t="s">
        <v>7</v>
      </c>
      <c r="C129" s="147" t="s">
        <v>8</v>
      </c>
      <c r="D129" s="152" t="s">
        <v>153</v>
      </c>
      <c r="E129" s="152" t="s">
        <v>154</v>
      </c>
      <c r="F129" s="152" t="s">
        <v>137</v>
      </c>
      <c r="G129" s="152" t="s">
        <v>138</v>
      </c>
      <c r="H129" s="152" t="s">
        <v>145</v>
      </c>
      <c r="I129" s="152" t="s">
        <v>146</v>
      </c>
      <c r="J129" s="153" t="s">
        <v>155</v>
      </c>
      <c r="K129" s="157" t="s">
        <v>160</v>
      </c>
    </row>
    <row r="130" spans="1:11" x14ac:dyDescent="0.3">
      <c r="A130" s="150" t="s">
        <v>88</v>
      </c>
      <c r="B130" s="148">
        <f>INDEX(MatVolPrice[[Product Name]:[Max Price]],MATCH('Production Calc'!$A130,MatVolPrice[[Product Name]:[Product Name]],0),7)</f>
        <v>780</v>
      </c>
      <c r="C130" s="148">
        <f>INDEX(MatVolPrice[[Product Name]:[Max Price]],MATCH('Production Calc'!$A130,MatVolPrice[[Product Name]:[Product Name]],0),8)</f>
        <v>1020</v>
      </c>
      <c r="D130">
        <f>K117</f>
        <v>3000</v>
      </c>
      <c r="E130" s="136">
        <f t="shared" ref="E130:E137" si="5">B106+D130*C106+P93/$Q$2*D130</f>
        <v>680000</v>
      </c>
      <c r="F130" s="136">
        <f>D130*B130-E130</f>
        <v>1660000</v>
      </c>
      <c r="G130" s="136">
        <f>C130*D130-E130</f>
        <v>2380000</v>
      </c>
      <c r="H130" s="138">
        <f>F130/E130</f>
        <v>2.4411764705882355</v>
      </c>
      <c r="I130" s="138">
        <f>G130/F130</f>
        <v>1.4337349397590362</v>
      </c>
      <c r="J130" s="136">
        <f>O80/$Q$2*PrMonthly[[#This Row],[1 month Qty]]</f>
        <v>300000</v>
      </c>
      <c r="K130" s="138">
        <f>PrMonthly[[#This Row],[Monthly Volume]]/20000000</f>
        <v>1.4999999999999999E-2</v>
      </c>
    </row>
    <row r="131" spans="1:11" x14ac:dyDescent="0.3">
      <c r="A131" s="151" t="s">
        <v>89</v>
      </c>
      <c r="B131" s="149">
        <f>INDEX(MatVolPrice[[Product Name]:[Max Price]],MATCH('Production Calc'!$A131,MatVolPrice[[Product Name]:[Product Name]],0),7)</f>
        <v>1260</v>
      </c>
      <c r="C131" s="149">
        <f>INDEX(MatVolPrice[[Product Name]:[Max Price]],MATCH('Production Calc'!$A131,MatVolPrice[[Product Name]:[Product Name]],0),8)</f>
        <v>1640</v>
      </c>
      <c r="D131">
        <f t="shared" ref="D131:D137" si="6">K118</f>
        <v>2400</v>
      </c>
      <c r="E131" s="136">
        <f t="shared" si="5"/>
        <v>1061200</v>
      </c>
      <c r="F131" s="136">
        <f t="shared" ref="F131:F137" si="7">D131*B131-E131</f>
        <v>1962800</v>
      </c>
      <c r="G131" s="136">
        <f t="shared" ref="G131:G137" si="8">C131*D131-E131</f>
        <v>2874800</v>
      </c>
      <c r="H131" s="138">
        <f t="shared" ref="H131:H137" si="9">F131/E131</f>
        <v>1.8496042216358839</v>
      </c>
      <c r="I131" s="138">
        <f t="shared" ref="I131:I137" si="10">G131/F131</f>
        <v>1.4646423476665988</v>
      </c>
      <c r="J131" s="136">
        <f>O81/$Q$2*PrMonthly[[#This Row],[1 month Qty]]</f>
        <v>984000</v>
      </c>
      <c r="K131" s="138">
        <f>PrMonthly[[#This Row],[Monthly Volume]]/20000000</f>
        <v>4.9200000000000001E-2</v>
      </c>
    </row>
    <row r="132" spans="1:11" x14ac:dyDescent="0.3">
      <c r="A132" s="150" t="s">
        <v>90</v>
      </c>
      <c r="B132" s="148">
        <f>INDEX(MatVolPrice[[Product Name]:[Max Price]],MATCH('Production Calc'!$A132,MatVolPrice[[Product Name]:[Product Name]],0),7)</f>
        <v>660</v>
      </c>
      <c r="C132" s="148">
        <f>INDEX(MatVolPrice[[Product Name]:[Max Price]],MATCH('Production Calc'!$A132,MatVolPrice[[Product Name]:[Product Name]],0),8)</f>
        <v>860</v>
      </c>
      <c r="D132">
        <f t="shared" si="6"/>
        <v>6300</v>
      </c>
      <c r="E132" s="136">
        <f t="shared" si="5"/>
        <v>1859500</v>
      </c>
      <c r="F132" s="136">
        <f t="shared" si="7"/>
        <v>2298500</v>
      </c>
      <c r="G132" s="136">
        <f t="shared" si="8"/>
        <v>3558500</v>
      </c>
      <c r="H132" s="138">
        <f t="shared" si="9"/>
        <v>1.2360849690777092</v>
      </c>
      <c r="I132" s="138">
        <f t="shared" si="10"/>
        <v>1.5481835979986949</v>
      </c>
      <c r="J132" s="136">
        <f>O82/$Q$2*PrMonthly[[#This Row],[1 month Qty]]</f>
        <v>1890000</v>
      </c>
      <c r="K132" s="138">
        <f>PrMonthly[[#This Row],[Monthly Volume]]/20000000</f>
        <v>9.4500000000000001E-2</v>
      </c>
    </row>
    <row r="133" spans="1:11" x14ac:dyDescent="0.3">
      <c r="A133" s="151" t="s">
        <v>91</v>
      </c>
      <c r="B133" s="149">
        <f>INDEX(MatVolPrice[[Product Name]:[Max Price]],MATCH('Production Calc'!$A133,MatVolPrice[[Product Name]:[Product Name]],0),7)</f>
        <v>1730</v>
      </c>
      <c r="C133" s="149">
        <f>INDEX(MatVolPrice[[Product Name]:[Max Price]],MATCH('Production Calc'!$A133,MatVolPrice[[Product Name]:[Product Name]],0),8)</f>
        <v>2240</v>
      </c>
      <c r="D133">
        <f t="shared" si="6"/>
        <v>2400</v>
      </c>
      <c r="E133" s="136">
        <f t="shared" si="5"/>
        <v>2009600</v>
      </c>
      <c r="F133" s="136">
        <f t="shared" si="7"/>
        <v>2142400</v>
      </c>
      <c r="G133" s="136">
        <f t="shared" si="8"/>
        <v>3366400</v>
      </c>
      <c r="H133" s="138">
        <f t="shared" si="9"/>
        <v>1.0660828025477707</v>
      </c>
      <c r="I133" s="138">
        <f t="shared" si="10"/>
        <v>1.5713218820014936</v>
      </c>
      <c r="J133" s="136">
        <f>O83/$Q$2*PrMonthly[[#This Row],[1 month Qty]]</f>
        <v>1776000</v>
      </c>
      <c r="K133" s="138">
        <f>PrMonthly[[#This Row],[Monthly Volume]]/20000000</f>
        <v>8.8800000000000004E-2</v>
      </c>
    </row>
    <row r="134" spans="1:11" x14ac:dyDescent="0.3">
      <c r="A134" s="150" t="s">
        <v>92</v>
      </c>
      <c r="B134" s="148">
        <f>INDEX(MatVolPrice[[Product Name]:[Max Price]],MATCH('Production Calc'!$A134,MatVolPrice[[Product Name]:[Product Name]],0),7)</f>
        <v>670</v>
      </c>
      <c r="C134" s="148">
        <f>INDEX(MatVolPrice[[Product Name]:[Max Price]],MATCH('Production Calc'!$A134,MatVolPrice[[Product Name]:[Product Name]],0),8)</f>
        <v>870</v>
      </c>
      <c r="D134">
        <f t="shared" si="6"/>
        <v>10500</v>
      </c>
      <c r="E134" s="136">
        <f t="shared" si="5"/>
        <v>3913000</v>
      </c>
      <c r="F134" s="136">
        <f t="shared" si="7"/>
        <v>3122000</v>
      </c>
      <c r="G134" s="136">
        <f t="shared" si="8"/>
        <v>5222000</v>
      </c>
      <c r="H134" s="138">
        <f t="shared" si="9"/>
        <v>0.79785330948121647</v>
      </c>
      <c r="I134" s="138">
        <f t="shared" si="10"/>
        <v>1.6726457399103138</v>
      </c>
      <c r="J134" s="136">
        <f>O84/$Q$2*PrMonthly[[#This Row],[1 month Qty]]</f>
        <v>2940000</v>
      </c>
      <c r="K134" s="138">
        <f>PrMonthly[[#This Row],[Monthly Volume]]/20000000</f>
        <v>0.14699999999999999</v>
      </c>
    </row>
    <row r="135" spans="1:11" x14ac:dyDescent="0.3">
      <c r="A135" s="151" t="s">
        <v>93</v>
      </c>
      <c r="B135" s="149">
        <f>INDEX(MatVolPrice[[Product Name]:[Max Price]],MATCH('Production Calc'!$A135,MatVolPrice[[Product Name]:[Product Name]],0),7)</f>
        <v>1120</v>
      </c>
      <c r="C135" s="149">
        <f>INDEX(MatVolPrice[[Product Name]:[Max Price]],MATCH('Production Calc'!$A135,MatVolPrice[[Product Name]:[Product Name]],0),8)</f>
        <v>1460</v>
      </c>
      <c r="D135">
        <f t="shared" si="6"/>
        <v>2700</v>
      </c>
      <c r="E135" s="136">
        <f t="shared" si="5"/>
        <v>867600</v>
      </c>
      <c r="F135" s="136">
        <f t="shared" si="7"/>
        <v>2156400</v>
      </c>
      <c r="G135" s="136">
        <f t="shared" si="8"/>
        <v>3074400</v>
      </c>
      <c r="H135" s="138">
        <f t="shared" si="9"/>
        <v>2.4854771784232366</v>
      </c>
      <c r="I135" s="138">
        <f t="shared" si="10"/>
        <v>1.4257095158597664</v>
      </c>
      <c r="J135" s="136">
        <f>O85/$Q$2*PrMonthly[[#This Row],[1 month Qty]]</f>
        <v>337500</v>
      </c>
      <c r="K135" s="138">
        <f>PrMonthly[[#This Row],[Monthly Volume]]/20000000</f>
        <v>1.6875000000000001E-2</v>
      </c>
    </row>
    <row r="136" spans="1:11" x14ac:dyDescent="0.3">
      <c r="A136" s="150" t="s">
        <v>94</v>
      </c>
      <c r="B136" s="148">
        <f>INDEX(MatVolPrice[[Product Name]:[Max Price]],MATCH('Production Calc'!$A136,MatVolPrice[[Product Name]:[Product Name]],0),7)</f>
        <v>910</v>
      </c>
      <c r="C136" s="148">
        <f>INDEX(MatVolPrice[[Product Name]:[Max Price]],MATCH('Production Calc'!$A136,MatVolPrice[[Product Name]:[Product Name]],0),8)</f>
        <v>1190</v>
      </c>
      <c r="D136">
        <f t="shared" si="6"/>
        <v>7200</v>
      </c>
      <c r="E136" s="136">
        <f t="shared" si="5"/>
        <v>3378400</v>
      </c>
      <c r="F136" s="136">
        <f t="shared" si="7"/>
        <v>3173600</v>
      </c>
      <c r="G136" s="136">
        <f t="shared" si="8"/>
        <v>5189600</v>
      </c>
      <c r="H136" s="138">
        <f t="shared" si="9"/>
        <v>0.93937958797063703</v>
      </c>
      <c r="I136" s="138">
        <f t="shared" si="10"/>
        <v>1.6352407360725989</v>
      </c>
      <c r="J136" s="136">
        <f>O86/$Q$2*PrMonthly[[#This Row],[1 month Qty]]</f>
        <v>2448000</v>
      </c>
      <c r="K136" s="138">
        <f>PrMonthly[[#This Row],[Monthly Volume]]/20000000</f>
        <v>0.12239999999999999</v>
      </c>
    </row>
    <row r="137" spans="1:11" x14ac:dyDescent="0.3">
      <c r="A137" s="151" t="s">
        <v>95</v>
      </c>
      <c r="B137" s="149">
        <f>INDEX(MatVolPrice[[Product Name]:[Max Price]],MATCH('Production Calc'!$A137,MatVolPrice[[Product Name]:[Product Name]],0),7)</f>
        <v>2060</v>
      </c>
      <c r="C137" s="149">
        <f>INDEX(MatVolPrice[[Product Name]:[Max Price]],MATCH('Production Calc'!$A137,MatVolPrice[[Product Name]:[Product Name]],0),8)</f>
        <v>2670</v>
      </c>
      <c r="D137">
        <f t="shared" si="6"/>
        <v>6900</v>
      </c>
      <c r="E137" s="136">
        <f t="shared" si="5"/>
        <v>9720900</v>
      </c>
      <c r="F137" s="136">
        <f t="shared" si="7"/>
        <v>4493100</v>
      </c>
      <c r="G137" s="136">
        <f t="shared" si="8"/>
        <v>8702100</v>
      </c>
      <c r="H137" s="138">
        <f t="shared" si="9"/>
        <v>0.46221028917075579</v>
      </c>
      <c r="I137" s="138">
        <f t="shared" si="10"/>
        <v>1.9367697135607933</v>
      </c>
      <c r="J137" s="136">
        <f>O87/$Q$2*PrMonthly[[#This Row],[1 month Qty]]</f>
        <v>8556000</v>
      </c>
      <c r="K137" s="138">
        <f>PrMonthly[[#This Row],[Monthly Volume]]/20000000</f>
        <v>0.42780000000000001</v>
      </c>
    </row>
  </sheetData>
  <pageMargins left="0.7" right="0.7" top="0.75" bottom="0.75" header="0.3" footer="0.3"/>
  <pageSetup orientation="portrait" horizontalDpi="300" verticalDpi="0" r:id="rId1"/>
  <legacy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'Products'' BOM'!$C$7:$C$14</xm:f>
          </x14:formula1>
          <xm:sqref>R2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0"/>
  <sheetViews>
    <sheetView zoomScale="75" zoomScaleNormal="75" workbookViewId="0">
      <selection activeCell="K2" sqref="K2"/>
    </sheetView>
  </sheetViews>
  <sheetFormatPr defaultRowHeight="14.4" x14ac:dyDescent="0.3"/>
  <cols>
    <col min="1" max="1" width="26" style="160" bestFit="1" customWidth="1"/>
    <col min="2" max="2" width="18.88671875" style="160" bestFit="1" customWidth="1"/>
    <col min="3" max="3" width="17.44140625" style="160" bestFit="1" customWidth="1"/>
    <col min="4" max="4" width="29" style="160" bestFit="1" customWidth="1"/>
    <col min="5" max="5" width="18.88671875" style="160" bestFit="1" customWidth="1"/>
    <col min="6" max="6" width="23.77734375" style="160" bestFit="1" customWidth="1"/>
    <col min="7" max="7" width="19.5546875" style="160" bestFit="1" customWidth="1"/>
    <col min="8" max="8" width="21.88671875" style="160" bestFit="1" customWidth="1"/>
    <col min="9" max="9" width="9" style="160" bestFit="1" customWidth="1"/>
    <col min="10" max="10" width="20.21875" style="160" bestFit="1" customWidth="1"/>
    <col min="11" max="11" width="9" style="160" bestFit="1" customWidth="1"/>
    <col min="12" max="12" width="36.88671875" style="160" bestFit="1" customWidth="1"/>
    <col min="13" max="13" width="23.21875" style="160" bestFit="1" customWidth="1"/>
    <col min="14" max="14" width="14.33203125" style="160" bestFit="1" customWidth="1"/>
    <col min="15" max="15" width="10.77734375" style="160" customWidth="1"/>
    <col min="16" max="16" width="17.21875" style="160" bestFit="1" customWidth="1"/>
    <col min="17" max="17" width="10.77734375" style="160" customWidth="1"/>
    <col min="18" max="18" width="11" style="160" bestFit="1" customWidth="1"/>
    <col min="19" max="19" width="8.44140625" style="160" bestFit="1" customWidth="1"/>
    <col min="20" max="20" width="15.33203125" style="160" bestFit="1" customWidth="1"/>
    <col min="21" max="21" width="8.44140625" style="160" bestFit="1" customWidth="1"/>
    <col min="22" max="22" width="8" style="160" bestFit="1" customWidth="1"/>
    <col min="23" max="23" width="11.5546875" style="160" bestFit="1" customWidth="1"/>
    <col min="24" max="24" width="6" style="160" bestFit="1" customWidth="1"/>
    <col min="25" max="26" width="9.77734375" style="160" bestFit="1" customWidth="1"/>
    <col min="27" max="16384" width="8.88671875" style="160"/>
  </cols>
  <sheetData>
    <row r="1" spans="1:16" ht="21.6" thickBot="1" x14ac:dyDescent="0.4">
      <c r="A1" s="256" t="s">
        <v>144</v>
      </c>
      <c r="B1" s="256"/>
      <c r="C1" s="256"/>
      <c r="D1" s="256"/>
      <c r="F1" s="169" t="s">
        <v>108</v>
      </c>
      <c r="G1" s="169" t="s">
        <v>142</v>
      </c>
      <c r="H1" s="169" t="s">
        <v>141</v>
      </c>
      <c r="I1" s="169" t="s">
        <v>111</v>
      </c>
      <c r="J1" s="169" t="s">
        <v>190</v>
      </c>
      <c r="K1" s="169" t="s">
        <v>169</v>
      </c>
      <c r="L1" s="169" t="s">
        <v>163</v>
      </c>
      <c r="M1" s="169" t="s">
        <v>168</v>
      </c>
      <c r="N1" s="169" t="s">
        <v>178</v>
      </c>
    </row>
    <row r="2" spans="1:16" ht="18.600000000000001" thickBot="1" x14ac:dyDescent="0.4">
      <c r="B2" s="161"/>
      <c r="C2" s="161"/>
      <c r="D2" s="161"/>
      <c r="F2" s="169">
        <v>1</v>
      </c>
      <c r="G2" s="169" t="s">
        <v>57</v>
      </c>
      <c r="H2" s="169" t="s">
        <v>92</v>
      </c>
      <c r="I2" s="169">
        <f>K2*L2</f>
        <v>42000</v>
      </c>
      <c r="J2" s="169">
        <v>2</v>
      </c>
      <c r="K2" s="169">
        <v>2</v>
      </c>
      <c r="L2" s="169">
        <f>INDEX(PrRate_tbl[1 Month],MATCH(Product,PrRate_tbl[Product Name],0))*J2</f>
        <v>21000</v>
      </c>
      <c r="M2" s="172">
        <f ca="1">NOW()</f>
        <v>45095.738598379627</v>
      </c>
      <c r="N2" s="169">
        <f>20000000</f>
        <v>20000000</v>
      </c>
    </row>
    <row r="3" spans="1:16" ht="18.600000000000001" thickBot="1" x14ac:dyDescent="0.4">
      <c r="A3" s="169" t="s">
        <v>144</v>
      </c>
      <c r="B3" s="169" t="str">
        <f ca="1">_xlfn.IFNA(INDEX(PrMatAmt[[#Headers],[aluminium]:[VibrationMotor]],MATCH(IF(LARGE(INDIRECT(Product),B8)&gt;0,LARGE(INDIRECT(Product),B8)),INDIRECT(Product),0))," ")</f>
        <v>plastic</v>
      </c>
      <c r="C3" s="169" t="str">
        <f ca="1">_xlfn.IFNA(INDEX(PrMatAmt[[#Headers],[aluminium]:[VibrationMotor]],MATCH(IF(LARGE(INDIRECT(Product),C8)&gt;0,LARGE(INDIRECT(Product),C8)),INDIRECT(Product),0))," ")</f>
        <v>glass</v>
      </c>
      <c r="D3" s="169" t="str">
        <f ca="1">_xlfn.IFNA(INDEX(PrMatAmt[[#Headers],[aluminium]:[VibrationMotor]],MATCH(IF(LARGE(INDIRECT(Product),D8)&gt;0,LARGE(INDIRECT(Product),D8)),INDIRECT(Product),0)),"")</f>
        <v>copper</v>
      </c>
      <c r="I3" s="162"/>
      <c r="J3" s="162"/>
      <c r="K3" s="162"/>
      <c r="L3" s="162"/>
      <c r="N3" s="162"/>
      <c r="O3" s="162"/>
      <c r="P3" s="162"/>
    </row>
    <row r="4" spans="1:16" ht="18.600000000000001" thickBot="1" x14ac:dyDescent="0.4">
      <c r="A4" s="169" t="s">
        <v>161</v>
      </c>
      <c r="B4" s="170">
        <f ca="1">_xlfn.IFNA(INDEX(PrMatAmt[[aluminium]:[VibrationMotor]],MATCH(Product,PrMatAmt[[Product Name]:[Product Name]],0),MATCH(B$3,PrMatAmt[[#Headers],[aluminium]:[VibrationMotor]],0)),"")</f>
        <v>3780000</v>
      </c>
      <c r="C4" s="170">
        <f ca="1">_xlfn.IFNA(INDEX(PrMatAmt[[aluminium]:[VibrationMotor]],MATCH(Product,PrMatAmt[[Product Name]:[Product Name]],0),MATCH(C$3,PrMatAmt[[#Headers],[aluminium]:[VibrationMotor]],0)),"")</f>
        <v>1680000</v>
      </c>
      <c r="D4" s="170">
        <f ca="1">_xlfn.IFNA(INDEX(PrMatAmt[[aluminium]:[VibrationMotor]],MATCH(Product,PrMatAmt[[Product Name]:[Product Name]],0),MATCH(D$3,PrMatAmt[[#Headers],[aluminium]:[VibrationMotor]],0)),"")</f>
        <v>840000</v>
      </c>
      <c r="I4" s="163"/>
      <c r="L4" s="163"/>
      <c r="M4" s="163"/>
      <c r="N4" s="163"/>
      <c r="O4" s="163"/>
      <c r="P4" s="163"/>
    </row>
    <row r="5" spans="1:16" ht="18.600000000000001" thickBot="1" x14ac:dyDescent="0.4">
      <c r="A5" s="169" t="s">
        <v>170</v>
      </c>
      <c r="B5" s="171">
        <f ca="1">_xlfn.IFNA(INDEX(MatAmtVol[[aluminium]:[VibrationMotor]],MATCH(Product,MatAmtVol[[Product Name]:[Product Name]],0),MATCH(B$3,MatAmtVol[[#Headers],[aluminium]:[VibrationMotor]],0)),"")/20000000</f>
        <v>0.378</v>
      </c>
      <c r="C5" s="171">
        <f ca="1">_xlfn.IFNA(INDEX(MatAmtVol[[aluminium]:[VibrationMotor]],MATCH(Product,MatAmtVol[[Product Name]:[Product Name]],0),MATCH(C$3,MatAmtVol[[#Headers],[aluminium]:[VibrationMotor]],0)),"")/20000000</f>
        <v>0.16800000000000001</v>
      </c>
      <c r="D5" s="171">
        <f ca="1">_xlfn.IFNA(INDEX(MatAmtVol[[aluminium]:[VibrationMotor]],MATCH(Product,MatAmtVol[[Product Name]:[Product Name]],0),MATCH(D$3,MatAmtVol[[#Headers],[aluminium]:[VibrationMotor]],0))/20000000,"")</f>
        <v>4.2000000000000003E-2</v>
      </c>
      <c r="I5" s="163"/>
      <c r="L5" s="163"/>
      <c r="M5" s="163"/>
      <c r="N5" s="163"/>
      <c r="O5" s="163"/>
      <c r="P5" s="163"/>
    </row>
    <row r="6" spans="1:16" ht="18.600000000000001" thickBot="1" x14ac:dyDescent="0.4">
      <c r="A6" s="169" t="s">
        <v>108</v>
      </c>
      <c r="B6" s="169">
        <f ca="1">_xlfn.IFNA(INDEX(ShippCost[[Min State]:[Min State]],MATCH(Shipping!B$3,ShippCost[[Resource/State]:[Resource/State]],0),1),"")</f>
        <v>5</v>
      </c>
      <c r="C6" s="169">
        <f ca="1">_xlfn.IFNA(INDEX(ShippCost[[Min State]:[Min State]],MATCH(Shipping!C$3,ShippCost[[Resource/State]:[Resource/State]],0),1),"")</f>
        <v>1</v>
      </c>
      <c r="D6" s="169">
        <f ca="1">_xlfn.IFNA(INDEX(ShippCost[[Min State]:[Min State]],MATCH(Shipping!D$3,ShippCost[[Resource/State]:[Resource/State]],0),1),"")</f>
        <v>3</v>
      </c>
      <c r="G6" s="166" t="s">
        <v>193</v>
      </c>
      <c r="H6" s="181">
        <f>Mat_Inv[[#Totals],[Volume]]+SUM(ProductInventory[Volume])</f>
        <v>0.1474</v>
      </c>
      <c r="I6" s="163"/>
      <c r="L6" s="163"/>
      <c r="M6" s="163"/>
      <c r="N6" s="163"/>
      <c r="O6" s="163"/>
      <c r="P6" s="163"/>
    </row>
    <row r="7" spans="1:16" ht="18.600000000000001" thickBot="1" x14ac:dyDescent="0.4">
      <c r="A7" s="169" t="s">
        <v>171</v>
      </c>
      <c r="B7" s="169">
        <f ca="1">_xlfn.IFNA(INDEX(TransDist_tbl[[airplane]:[Truck]],MATCH(INDEX(Distance_tbl[[1]:[8]],MATCH(State,Distance_tbl[[States]:[States]],0),MATCH(TEXT(Shipping!B$6,"0"),Distance_tbl[[#Headers],[1]:[8]],0)),TransDist_tbl[[distance]:[distance]],0),MATCH(Shipping_mode,TransDist_tbl[[#Headers],[airplane]:[Truck]],0)),0)</f>
        <v>6</v>
      </c>
      <c r="C7" s="169">
        <f ca="1">_xlfn.IFNA(INDEX(TransDist_tbl[[airplane]:[Truck]],MATCH(INDEX(Distance_tbl[[1]:[8]],MATCH(State,Distance_tbl[[States]:[States]],0),MATCH(TEXT(Shipping!C$6,"0"),Distance_tbl[[#Headers],[1]:[8]],0)),TransDist_tbl[[distance]:[distance]],0),MATCH(Shipping_mode,TransDist_tbl[[#Headers],[airplane]:[Truck]],0)),0)</f>
        <v>0</v>
      </c>
      <c r="D7" s="169">
        <f ca="1">IF(D3&lt;&gt;"",_xlfn.IFNA(INDEX(TransDist_tbl[[airplane]:[Truck]],MATCH(INDEX(Distance_tbl[[1]:[8]],MATCH(State,Distance_tbl[[States]:[States]],0),MATCH(TEXT(Shipping!D$6,"0"),Distance_tbl[[#Headers],[1]:[8]],0)),TransDist_tbl[[distance]:[distance]],0),MATCH(Shipping_mode,TransDist_tbl[[#Headers],[airplane]:[Truck]],0)),0),"")</f>
        <v>3</v>
      </c>
      <c r="E7" s="161"/>
      <c r="F7" s="161"/>
      <c r="G7" s="166" t="s">
        <v>194</v>
      </c>
      <c r="H7" s="182">
        <f>1-H6</f>
        <v>0.85260000000000002</v>
      </c>
    </row>
    <row r="8" spans="1:16" x14ac:dyDescent="0.3">
      <c r="B8" s="166">
        <v>1</v>
      </c>
      <c r="C8" s="166">
        <v>2</v>
      </c>
      <c r="D8" s="166">
        <v>3</v>
      </c>
      <c r="E8" s="161"/>
      <c r="F8" s="161"/>
      <c r="M8" s="166"/>
      <c r="N8" s="181"/>
    </row>
    <row r="9" spans="1:16" ht="21" x14ac:dyDescent="0.3">
      <c r="A9" s="256" t="s">
        <v>147</v>
      </c>
      <c r="B9" s="256"/>
      <c r="D9" s="256" t="s">
        <v>74</v>
      </c>
      <c r="E9" s="256"/>
      <c r="M9" s="161"/>
      <c r="N9" s="183"/>
    </row>
    <row r="10" spans="1:16" ht="15" thickBot="1" x14ac:dyDescent="0.35">
      <c r="D10" s="185"/>
      <c r="M10" s="183"/>
      <c r="N10" s="183"/>
    </row>
    <row r="11" spans="1:16" ht="18.600000000000001" thickBot="1" x14ac:dyDescent="0.4">
      <c r="A11" s="169" t="s">
        <v>148</v>
      </c>
      <c r="B11" s="173">
        <f>INDEX(PrShipCost_tbl[ShipCost],MATCH(Product,PrShipCost_tbl[Product Name],0),1)</f>
        <v>690495.95580358838</v>
      </c>
      <c r="D11" s="169" t="s">
        <v>132</v>
      </c>
      <c r="E11" s="170">
        <f>INDEX(MatAmtVol[Total Volume],MATCH(Product,MatAmtVol[Product Name],0))</f>
        <v>11760000</v>
      </c>
      <c r="M11" s="161"/>
      <c r="N11" s="183"/>
    </row>
    <row r="12" spans="1:16" ht="18.600000000000001" thickBot="1" x14ac:dyDescent="0.4">
      <c r="A12" s="169" t="s">
        <v>143</v>
      </c>
      <c r="B12" s="173">
        <f>INDEX(PrMatCost_tbl[MatCost],MATCH(Product,PrMatCost_tbl[Product Name],0),1)</f>
        <v>11340000</v>
      </c>
      <c r="D12" s="169" t="s">
        <v>162</v>
      </c>
      <c r="E12" s="170">
        <f>Unit*INDEX(Products!$F$15:$F$31,MATCH(Product,Products!$C$15:$C$31,0))</f>
        <v>9408000</v>
      </c>
      <c r="F12" s="164"/>
      <c r="M12" s="161"/>
      <c r="N12" s="183"/>
    </row>
    <row r="13" spans="1:16" ht="18.600000000000001" thickBot="1" x14ac:dyDescent="0.4">
      <c r="A13" s="169" t="s">
        <v>149</v>
      </c>
      <c r="B13" s="173">
        <f>INDEX(PrCost_tbl[Cost],MATCH(Product,PrCost_tbl[Product Name],0),1)</f>
        <v>6664000</v>
      </c>
      <c r="D13" s="169" t="s">
        <v>164</v>
      </c>
      <c r="E13" s="171">
        <f>E11/Space</f>
        <v>0.58799999999999997</v>
      </c>
      <c r="M13" s="161"/>
      <c r="N13" s="184"/>
    </row>
    <row r="14" spans="1:16" ht="18.600000000000001" thickBot="1" x14ac:dyDescent="0.4">
      <c r="A14" s="169" t="s">
        <v>135</v>
      </c>
      <c r="B14" s="173">
        <f>SUM(B11:B13)</f>
        <v>18694495.955803588</v>
      </c>
      <c r="D14" s="169" t="s">
        <v>165</v>
      </c>
      <c r="E14" s="171">
        <f>E12/Space</f>
        <v>0.47039999999999998</v>
      </c>
    </row>
    <row r="16" spans="1:16" x14ac:dyDescent="0.3">
      <c r="A16" s="162"/>
    </row>
    <row r="17" spans="1:10" ht="21" x14ac:dyDescent="0.3">
      <c r="A17" s="256" t="s">
        <v>148</v>
      </c>
      <c r="B17" s="256"/>
      <c r="C17" s="256"/>
      <c r="D17" s="256"/>
      <c r="E17" s="256"/>
      <c r="F17" s="256"/>
      <c r="G17" s="256"/>
      <c r="H17" s="256"/>
      <c r="I17" s="256"/>
      <c r="J17" s="256"/>
    </row>
    <row r="19" spans="1:10" ht="18.600000000000001" thickBot="1" x14ac:dyDescent="0.35">
      <c r="A19" s="174" t="s">
        <v>166</v>
      </c>
      <c r="B19" s="174" t="s">
        <v>141</v>
      </c>
      <c r="C19" s="174" t="s">
        <v>143</v>
      </c>
      <c r="D19" s="174" t="s">
        <v>111</v>
      </c>
      <c r="E19" s="174" t="s">
        <v>170</v>
      </c>
      <c r="F19" s="174" t="s">
        <v>174</v>
      </c>
      <c r="G19" s="174" t="s">
        <v>173</v>
      </c>
      <c r="H19" s="174" t="s">
        <v>195</v>
      </c>
      <c r="I19" s="174" t="s">
        <v>167</v>
      </c>
      <c r="J19" s="174" t="s">
        <v>176</v>
      </c>
    </row>
    <row r="20" spans="1:10" ht="16.2" thickTop="1" x14ac:dyDescent="0.3">
      <c r="A20" s="175"/>
      <c r="B20" s="176"/>
      <c r="C20" s="176"/>
      <c r="D20" s="177"/>
      <c r="E20" s="178"/>
      <c r="F20" s="179"/>
      <c r="G20" s="180"/>
      <c r="H20" s="179"/>
      <c r="I20" s="175"/>
      <c r="J20" s="175"/>
    </row>
  </sheetData>
  <mergeCells count="4">
    <mergeCell ref="A1:D1"/>
    <mergeCell ref="A9:B9"/>
    <mergeCell ref="D9:E9"/>
    <mergeCell ref="A17:J17"/>
  </mergeCells>
  <conditionalFormatting sqref="A20:J20">
    <cfRule type="expression" dxfId="6" priority="5">
      <formula>$I20="Destroyed"</formula>
    </cfRule>
    <cfRule type="expression" dxfId="5" priority="6">
      <formula>$I20="Store"</formula>
    </cfRule>
    <cfRule type="expression" dxfId="4" priority="7">
      <formula>$I20="Queue"</formula>
    </cfRule>
  </conditionalFormatting>
  <conditionalFormatting sqref="M2">
    <cfRule type="expression" dxfId="3" priority="2">
      <formula>$I2="Destroyed"</formula>
    </cfRule>
    <cfRule type="expression" dxfId="2" priority="3">
      <formula>$I2="Store"</formula>
    </cfRule>
    <cfRule type="expression" dxfId="1" priority="4">
      <formula>$I2="Queue"</formula>
    </cfRule>
  </conditionalFormatting>
  <conditionalFormatting sqref="E13">
    <cfRule type="expression" dxfId="0" priority="1">
      <formula>$E$13&gt;$H$7</formula>
    </cfRule>
  </conditionalFormatting>
  <dataValidations count="6">
    <dataValidation type="list" allowBlank="1" showInputMessage="1" showErrorMessage="1" sqref="U16 J2">
      <formula1>"1,2,3"</formula1>
    </dataValidation>
    <dataValidation type="list" allowBlank="1" showInputMessage="1" showErrorMessage="1" sqref="V16">
      <formula1>"1,2,3,4"</formula1>
    </dataValidation>
    <dataValidation type="list" allowBlank="1" showInputMessage="1" showErrorMessage="1" sqref="K2">
      <formula1>"1,2,3,4,5,6,7,8,9,10"</formula1>
    </dataValidation>
    <dataValidation type="decimal" operator="lessThan" allowBlank="1" showInputMessage="1" showErrorMessage="1" sqref="E13:E14">
      <formula1>1</formula1>
    </dataValidation>
    <dataValidation type="decimal" operator="lessThan" allowBlank="1" showInputMessage="1" showErrorMessage="1" errorTitle="Inventory Doesnt Have Space" error="The Units entered is more than the Inventory limit. Please reduce the number of manufacturing products." sqref="E20">
      <formula1>1</formula1>
    </dataValidation>
    <dataValidation type="list" allowBlank="1" showInputMessage="1" showErrorMessage="1" sqref="I20">
      <formula1>"Shipping,Queue,Destroyed,Store"</formula1>
    </dataValidation>
  </dataValidations>
  <pageMargins left="0.7" right="0.7" top="0.75" bottom="0.75" header="0.3" footer="0.3"/>
  <pageSetup orientation="portrait" horizontalDpi="300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Transportation!$B$2:$B$4</xm:f>
          </x14:formula1>
          <xm:sqref>G2 R16</xm:sqref>
        </x14:dataValidation>
        <x14:dataValidation type="list" allowBlank="1" showInputMessage="1" showErrorMessage="1">
          <x14:formula1>
            <xm:f>'Products'' BOM'!$C$7:$C$14</xm:f>
          </x14:formula1>
          <xm:sqref>H2</xm:sqref>
        </x14:dataValidation>
        <x14:dataValidation type="list" allowBlank="1" showInputMessage="1" showErrorMessage="1">
          <x14:formula1>
            <xm:f>'Products'' BOM'!$C$20:$C$25</xm:f>
          </x14:formula1>
          <xm:sqref>S16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66"/>
  <sheetViews>
    <sheetView zoomScale="80" zoomScaleNormal="80" workbookViewId="0">
      <selection activeCell="J64" sqref="J64"/>
    </sheetView>
  </sheetViews>
  <sheetFormatPr defaultRowHeight="14.4" x14ac:dyDescent="0.3"/>
  <cols>
    <col min="1" max="1" width="18.6640625" style="160" bestFit="1" customWidth="1"/>
    <col min="2" max="2" width="12.44140625" style="160" customWidth="1"/>
    <col min="3" max="3" width="16" style="160" bestFit="1" customWidth="1"/>
    <col min="4" max="4" width="16.6640625" style="160" bestFit="1" customWidth="1"/>
    <col min="5" max="5" width="16.77734375" style="160" bestFit="1" customWidth="1"/>
    <col min="6" max="6" width="16" style="160" bestFit="1" customWidth="1"/>
    <col min="7" max="7" width="16.77734375" style="160" bestFit="1" customWidth="1"/>
    <col min="8" max="8" width="14.5546875" style="160" bestFit="1" customWidth="1"/>
    <col min="9" max="9" width="18" style="160" bestFit="1" customWidth="1"/>
    <col min="10" max="10" width="12.44140625" style="160" bestFit="1" customWidth="1"/>
    <col min="11" max="11" width="7.77734375" style="160" bestFit="1" customWidth="1"/>
    <col min="12" max="13" width="10.21875" style="160" bestFit="1" customWidth="1"/>
    <col min="14" max="14" width="11.109375" style="160" bestFit="1" customWidth="1"/>
    <col min="15" max="15" width="9.33203125" style="160" bestFit="1" customWidth="1"/>
    <col min="16" max="16" width="13.6640625" style="160" bestFit="1" customWidth="1"/>
    <col min="17" max="17" width="10.21875" style="160" bestFit="1" customWidth="1"/>
    <col min="18" max="18" width="10" style="160" bestFit="1" customWidth="1"/>
    <col min="19" max="19" width="12.33203125" style="160" bestFit="1" customWidth="1"/>
    <col min="20" max="20" width="11.109375" style="160" bestFit="1" customWidth="1"/>
    <col min="21" max="21" width="9.88671875" style="160" bestFit="1" customWidth="1"/>
    <col min="22" max="22" width="16.5546875" style="160" bestFit="1" customWidth="1"/>
    <col min="23" max="23" width="8.5546875" style="160" bestFit="1" customWidth="1"/>
    <col min="24" max="24" width="13.44140625" style="160" bestFit="1" customWidth="1"/>
    <col min="25" max="25" width="10" style="160" bestFit="1" customWidth="1"/>
    <col min="26" max="26" width="7.5546875" style="160" bestFit="1" customWidth="1"/>
    <col min="27" max="27" width="12.21875" style="160" bestFit="1" customWidth="1"/>
    <col min="28" max="28" width="8.5546875" style="160" bestFit="1" customWidth="1"/>
    <col min="29" max="29" width="9.88671875" style="160" bestFit="1" customWidth="1"/>
    <col min="30" max="30" width="17" style="160" bestFit="1" customWidth="1"/>
    <col min="31" max="31" width="8.5546875" style="160" bestFit="1" customWidth="1"/>
    <col min="32" max="39" width="9" style="160" bestFit="1" customWidth="1"/>
    <col min="40" max="40" width="8.88671875" style="160"/>
    <col min="41" max="41" width="9" style="160" bestFit="1" customWidth="1"/>
    <col min="42" max="16384" width="8.88671875" style="160"/>
  </cols>
  <sheetData>
    <row r="1" spans="1:27" ht="21" x14ac:dyDescent="0.3">
      <c r="A1" s="256" t="s">
        <v>187</v>
      </c>
      <c r="B1" s="256"/>
      <c r="C1" s="256"/>
      <c r="D1" s="202"/>
    </row>
    <row r="3" spans="1:27" x14ac:dyDescent="0.3"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</row>
    <row r="4" spans="1:27" ht="18.600000000000001" thickBot="1" x14ac:dyDescent="0.35">
      <c r="A4" s="190" t="s">
        <v>143</v>
      </c>
      <c r="B4" s="190" t="s">
        <v>111</v>
      </c>
      <c r="C4" s="190" t="s">
        <v>170</v>
      </c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</row>
    <row r="5" spans="1:27" ht="15.6" hidden="1" thickTop="1" thickBot="1" x14ac:dyDescent="0.35">
      <c r="A5" s="189" t="s">
        <v>116</v>
      </c>
      <c r="B5" s="168">
        <v>0</v>
      </c>
      <c r="C5" s="188">
        <f>Mat_Inv[[#This Row],[Unit]]*INDEX(MatVolPrice[[1 Unit Volume]:[1 Unit Volume]],MATCH(Mat_Inv[[#This Row],[Material]],MatVolPrice[[Product Name]:[Product Name]],0))/Space</f>
        <v>0</v>
      </c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</row>
    <row r="6" spans="1:27" ht="15.6" hidden="1" thickTop="1" thickBot="1" x14ac:dyDescent="0.35">
      <c r="A6" s="189" t="s">
        <v>13</v>
      </c>
      <c r="B6" s="168">
        <v>0</v>
      </c>
      <c r="C6" s="188">
        <f>Mat_Inv[[#This Row],[Unit]]*INDEX(MatVolPrice[[1 Unit Volume]:[1 Unit Volume]],MATCH(Mat_Inv[[#This Row],[Material]],MatVolPrice[[Product Name]:[Product Name]],0))/Space</f>
        <v>0</v>
      </c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</row>
    <row r="7" spans="1:27" ht="15.6" hidden="1" thickTop="1" thickBot="1" x14ac:dyDescent="0.35">
      <c r="A7" s="189" t="s">
        <v>15</v>
      </c>
      <c r="B7" s="168">
        <v>0</v>
      </c>
      <c r="C7" s="188">
        <f>Mat_Inv[[#This Row],[Unit]]*INDEX(MatVolPrice[[1 Unit Volume]:[1 Unit Volume]],MATCH(Mat_Inv[[#This Row],[Material]],MatVolPrice[[Product Name]:[Product Name]],0))/Space</f>
        <v>0</v>
      </c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</row>
    <row r="8" spans="1:27" ht="15.6" thickTop="1" thickBot="1" x14ac:dyDescent="0.35">
      <c r="A8" s="189" t="s">
        <v>17</v>
      </c>
      <c r="B8" s="168">
        <v>340000</v>
      </c>
      <c r="C8" s="188">
        <f>Mat_Inv[[#This Row],[Unit]]*INDEX(MatVolPrice[[1 Unit Volume]:[1 Unit Volume]],MATCH(Mat_Inv[[#This Row],[Material]],MatVolPrice[[Product Name]:[Product Name]],0))/Space</f>
        <v>1.7000000000000001E-2</v>
      </c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</row>
    <row r="9" spans="1:27" ht="15.6" thickTop="1" thickBot="1" x14ac:dyDescent="0.35">
      <c r="A9" s="189" t="s">
        <v>19</v>
      </c>
      <c r="B9" s="168">
        <v>80000</v>
      </c>
      <c r="C9" s="188">
        <f>Mat_Inv[[#This Row],[Unit]]*INDEX(MatVolPrice[[1 Unit Volume]:[1 Unit Volume]],MATCH(Mat_Inv[[#This Row],[Material]],MatVolPrice[[Product Name]:[Product Name]],0))/Space</f>
        <v>8.0000000000000002E-3</v>
      </c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</row>
    <row r="10" spans="1:27" ht="15.6" hidden="1" thickTop="1" thickBot="1" x14ac:dyDescent="0.35">
      <c r="A10" s="189" t="s">
        <v>21</v>
      </c>
      <c r="B10" s="168">
        <v>0</v>
      </c>
      <c r="C10" s="188">
        <f>Mat_Inv[[#This Row],[Unit]]*INDEX(MatVolPrice[[1 Unit Volume]:[1 Unit Volume]],MATCH(Mat_Inv[[#This Row],[Material]],MatVolPrice[[Product Name]:[Product Name]],0))/Space</f>
        <v>0</v>
      </c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</row>
    <row r="11" spans="1:27" ht="15.6" hidden="1" thickTop="1" thickBot="1" x14ac:dyDescent="0.35">
      <c r="A11" s="189" t="s">
        <v>23</v>
      </c>
      <c r="B11" s="168">
        <v>0</v>
      </c>
      <c r="C11" s="188">
        <f>Mat_Inv[[#This Row],[Unit]]*INDEX(MatVolPrice[[1 Unit Volume]:[1 Unit Volume]],MATCH(Mat_Inv[[#This Row],[Material]],MatVolPrice[[Product Name]:[Product Name]],0))/Space</f>
        <v>0</v>
      </c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</row>
    <row r="12" spans="1:27" ht="15.6" hidden="1" thickTop="1" thickBot="1" x14ac:dyDescent="0.35">
      <c r="A12" s="189" t="s">
        <v>25</v>
      </c>
      <c r="B12" s="168">
        <v>0</v>
      </c>
      <c r="C12" s="188">
        <f>Mat_Inv[[#This Row],[Unit]]*INDEX(MatVolPrice[[1 Unit Volume]:[1 Unit Volume]],MATCH(Mat_Inv[[#This Row],[Material]],MatVolPrice[[Product Name]:[Product Name]],0))/Space</f>
        <v>0</v>
      </c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</row>
    <row r="13" spans="1:27" ht="15.6" hidden="1" thickTop="1" thickBot="1" x14ac:dyDescent="0.35">
      <c r="A13" s="189" t="s">
        <v>27</v>
      </c>
      <c r="B13" s="168">
        <v>0</v>
      </c>
      <c r="C13" s="188">
        <f>Mat_Inv[[#This Row],[Unit]]*INDEX(MatVolPrice[[1 Unit Volume]:[1 Unit Volume]],MATCH(Mat_Inv[[#This Row],[Material]],MatVolPrice[[Product Name]:[Product Name]],0))/Space</f>
        <v>0</v>
      </c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</row>
    <row r="14" spans="1:27" ht="15.6" hidden="1" thickTop="1" thickBot="1" x14ac:dyDescent="0.35">
      <c r="A14" s="189" t="s">
        <v>29</v>
      </c>
      <c r="B14" s="168">
        <v>0</v>
      </c>
      <c r="C14" s="188">
        <f>Mat_Inv[[#This Row],[Unit]]*INDEX(MatVolPrice[[1 Unit Volume]:[1 Unit Volume]],MATCH(Mat_Inv[[#This Row],[Material]],MatVolPrice[[Product Name]:[Product Name]],0))/Space</f>
        <v>0</v>
      </c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</row>
    <row r="15" spans="1:27" ht="15.6" hidden="1" thickTop="1" thickBot="1" x14ac:dyDescent="0.35">
      <c r="A15" s="189" t="s">
        <v>31</v>
      </c>
      <c r="B15" s="168">
        <v>0</v>
      </c>
      <c r="C15" s="188">
        <f>Mat_Inv[[#This Row],[Unit]]*INDEX(MatVolPrice[[1 Unit Volume]:[1 Unit Volume]],MATCH(Mat_Inv[[#This Row],[Material]],MatVolPrice[[Product Name]:[Product Name]],0))/Space</f>
        <v>0</v>
      </c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</row>
    <row r="16" spans="1:27" ht="15.6" hidden="1" thickTop="1" thickBot="1" x14ac:dyDescent="0.35">
      <c r="A16" s="189" t="s">
        <v>33</v>
      </c>
      <c r="B16" s="168">
        <v>0</v>
      </c>
      <c r="C16" s="188">
        <f>Mat_Inv[[#This Row],[Unit]]*INDEX(MatVolPrice[[1 Unit Volume]:[1 Unit Volume]],MATCH(Mat_Inv[[#This Row],[Material]],MatVolPrice[[Product Name]:[Product Name]],0))/Space</f>
        <v>0</v>
      </c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</row>
    <row r="17" spans="1:41" ht="15.6" hidden="1" thickTop="1" thickBot="1" x14ac:dyDescent="0.35">
      <c r="A17" s="189" t="s">
        <v>179</v>
      </c>
      <c r="B17" s="168">
        <v>0</v>
      </c>
      <c r="C17" s="188">
        <f>Mat_Inv[[#This Row],[Unit]]*INDEX(MatVolPrice[[1 Unit Volume]:[1 Unit Volume]],MATCH(Mat_Inv[[#This Row],[Material]],MatVolPrice[[Product Name]:[Product Name]],0))/Space</f>
        <v>0</v>
      </c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</row>
    <row r="18" spans="1:41" ht="15" thickTop="1" x14ac:dyDescent="0.3">
      <c r="A18" s="257" t="s">
        <v>175</v>
      </c>
      <c r="B18" s="258"/>
      <c r="C18" s="259">
        <f>SUBTOTAL(109,Mat_Inv[Volume])</f>
        <v>2.5000000000000001E-2</v>
      </c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</row>
    <row r="19" spans="1:41" x14ac:dyDescent="0.3">
      <c r="C19" s="186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</row>
    <row r="20" spans="1:41" x14ac:dyDescent="0.3"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</row>
    <row r="21" spans="1:41" ht="21" x14ac:dyDescent="0.3">
      <c r="A21" s="256" t="s">
        <v>188</v>
      </c>
      <c r="B21" s="256"/>
      <c r="C21" s="256"/>
      <c r="D21" s="256"/>
      <c r="E21" s="256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</row>
    <row r="22" spans="1:41" x14ac:dyDescent="0.3"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</row>
    <row r="23" spans="1:41" x14ac:dyDescent="0.3"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</row>
    <row r="24" spans="1:41" x14ac:dyDescent="0.3">
      <c r="A24" s="167" t="s">
        <v>141</v>
      </c>
      <c r="B24" s="167" t="s">
        <v>192</v>
      </c>
      <c r="C24" s="167" t="s">
        <v>170</v>
      </c>
      <c r="D24" s="167" t="s">
        <v>181</v>
      </c>
      <c r="E24" s="167" t="s">
        <v>128</v>
      </c>
      <c r="G24" s="166" t="s">
        <v>141</v>
      </c>
      <c r="H24" s="166" t="s">
        <v>116</v>
      </c>
      <c r="I24" s="166" t="s">
        <v>13</v>
      </c>
      <c r="J24" s="166" t="s">
        <v>15</v>
      </c>
      <c r="K24" s="166" t="s">
        <v>17</v>
      </c>
      <c r="L24" s="166" t="s">
        <v>19</v>
      </c>
      <c r="M24" s="166" t="s">
        <v>21</v>
      </c>
      <c r="N24" s="166" t="s">
        <v>23</v>
      </c>
      <c r="O24" s="166" t="s">
        <v>25</v>
      </c>
      <c r="P24" s="166" t="s">
        <v>27</v>
      </c>
      <c r="Q24" s="166" t="s">
        <v>29</v>
      </c>
      <c r="R24" s="166" t="s">
        <v>31</v>
      </c>
      <c r="S24" s="166" t="s">
        <v>33</v>
      </c>
      <c r="T24" s="166" t="s">
        <v>179</v>
      </c>
      <c r="U24" s="166" t="s">
        <v>167</v>
      </c>
      <c r="V24" s="166"/>
      <c r="W24" s="166" t="s">
        <v>128</v>
      </c>
      <c r="X24" s="166" t="s">
        <v>141</v>
      </c>
      <c r="Y24" s="166"/>
      <c r="Z24" s="166" t="s">
        <v>141</v>
      </c>
      <c r="AA24" s="166" t="s">
        <v>116</v>
      </c>
      <c r="AB24" s="166" t="s">
        <v>13</v>
      </c>
      <c r="AC24" s="166" t="s">
        <v>15</v>
      </c>
      <c r="AD24" s="166" t="s">
        <v>17</v>
      </c>
      <c r="AE24" s="166" t="s">
        <v>19</v>
      </c>
      <c r="AF24" s="166" t="s">
        <v>21</v>
      </c>
      <c r="AG24" s="166" t="s">
        <v>23</v>
      </c>
      <c r="AH24" s="166" t="s">
        <v>25</v>
      </c>
      <c r="AI24" s="166" t="s">
        <v>27</v>
      </c>
      <c r="AJ24" s="166" t="s">
        <v>29</v>
      </c>
      <c r="AK24" s="166" t="s">
        <v>31</v>
      </c>
      <c r="AL24" s="166" t="s">
        <v>33</v>
      </c>
      <c r="AM24" s="166" t="s">
        <v>179</v>
      </c>
      <c r="AN24" s="166" t="s">
        <v>167</v>
      </c>
      <c r="AO24" s="166" t="s">
        <v>191</v>
      </c>
    </row>
    <row r="25" spans="1:41" hidden="1" x14ac:dyDescent="0.3">
      <c r="A25" s="191" t="s">
        <v>88</v>
      </c>
      <c r="B25" s="167">
        <f ca="1">MinUnit[[#This Row],[min]]</f>
        <v>0</v>
      </c>
      <c r="C25" s="188">
        <f ca="1">Pr_Inv[[#This Row],[max Unit]]*INDEX(MatVolPrice[[1 Unit Volume]:[1 Unit Volume]],MATCH(Pr_Inv[[#This Row],[Product]],MatVolPrice[[Product Name]:[Product Name]],0))/Space</f>
        <v>0</v>
      </c>
      <c r="D25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5" s="167">
        <f>SUBTOTAL(3,A$25:A25)</f>
        <v>0</v>
      </c>
      <c r="G25" s="166" t="s">
        <v>88</v>
      </c>
      <c r="H25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5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5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5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5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5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5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5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5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5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5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5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5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5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5" s="166"/>
      <c r="W25" s="166">
        <v>1</v>
      </c>
      <c r="X25" s="166" t="str">
        <f>IFERROR(INDEX(Pr_Inv[Product],MATCH(Table26[[#This Row],[Row]],Pr_Inv[Row],0)),"")</f>
        <v/>
      </c>
      <c r="Y25" s="166"/>
      <c r="Z25" s="166" t="s">
        <v>88</v>
      </c>
      <c r="AA25" s="201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25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5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5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34000</v>
      </c>
      <c r="AE25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25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5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5" s="201" t="str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NoK</v>
      </c>
      <c r="AI25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5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5" s="201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5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5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5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5" s="201">
        <f ca="1">IF(MinUnit[[#This Row],[Status]]&lt;&gt;"",SMALL(MinUnit[[#This Row],[aluminium]:[VibrationMotor]],COUNTIF(MinUnit[[#This Row],[aluminium]:[VibrationMotor]],0)+1),0)</f>
        <v>0</v>
      </c>
    </row>
    <row r="26" spans="1:41" hidden="1" x14ac:dyDescent="0.3">
      <c r="A26" s="191" t="s">
        <v>89</v>
      </c>
      <c r="B26" s="167">
        <f ca="1">MinUnit[[#This Row],[min]]</f>
        <v>0</v>
      </c>
      <c r="C26" s="188">
        <f ca="1">Pr_Inv[[#This Row],[max Unit]]*INDEX(MatVolPrice[[1 Unit Volume]:[1 Unit Volume]],MATCH(Pr_Inv[[#This Row],[Product]],MatVolPrice[[Product Name]:[Product Name]],0))/Space</f>
        <v>0</v>
      </c>
      <c r="D26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6" s="167">
        <f>SUBTOTAL(3,A$25:A26)</f>
        <v>0</v>
      </c>
      <c r="G26" s="166" t="s">
        <v>89</v>
      </c>
      <c r="H26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6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6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6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6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6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6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6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6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6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6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6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6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6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6" s="166"/>
      <c r="W26" s="166">
        <v>2</v>
      </c>
      <c r="X26" s="166" t="str">
        <f>IFERROR(INDEX(Pr_Inv[Product],MATCH(Table26[[#This Row],[Row]],Pr_Inv[Row],0)),"")</f>
        <v/>
      </c>
      <c r="Y26" s="166"/>
      <c r="Z26" s="166" t="s">
        <v>89</v>
      </c>
      <c r="AA26" s="201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26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6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6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26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533.33333333333337</v>
      </c>
      <c r="AF26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6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6" s="201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0</v>
      </c>
      <c r="AI26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6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6" s="201" t="str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NoK</v>
      </c>
      <c r="AL26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6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6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6" s="201">
        <f ca="1">IF(MinUnit[[#This Row],[Status]]&lt;&gt;"",SMALL(MinUnit[[#This Row],[aluminium]:[VibrationMotor]],COUNTIF(MinUnit[[#This Row],[aluminium]:[VibrationMotor]],0)+1),0)</f>
        <v>0</v>
      </c>
    </row>
    <row r="27" spans="1:41" hidden="1" x14ac:dyDescent="0.3">
      <c r="A27" s="191" t="s">
        <v>90</v>
      </c>
      <c r="B27" s="167">
        <f ca="1">MinUnit[[#This Row],[min]]</f>
        <v>0</v>
      </c>
      <c r="C27" s="188">
        <f ca="1">Pr_Inv[[#This Row],[max Unit]]*INDEX(MatVolPrice[[1 Unit Volume]:[1 Unit Volume]],MATCH(Pr_Inv[[#This Row],[Product]],MatVolPrice[[Product Name]:[Product Name]],0))/Space</f>
        <v>0</v>
      </c>
      <c r="D27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7" s="167">
        <f>SUBTOTAL(3,A$25:A27)</f>
        <v>0</v>
      </c>
      <c r="G27" s="166" t="s">
        <v>90</v>
      </c>
      <c r="H27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7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7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7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7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7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7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7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7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7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7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7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7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7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7" s="166"/>
      <c r="W27" s="166">
        <v>3</v>
      </c>
      <c r="X27" s="166" t="str">
        <f>IFERROR(INDEX(Pr_Inv[Product],MATCH(Table26[[#This Row],[Row]],Pr_Inv[Row],0)),"")</f>
        <v/>
      </c>
      <c r="Y27" s="166"/>
      <c r="Z27" s="166" t="s">
        <v>90</v>
      </c>
      <c r="AA27" s="201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0</v>
      </c>
      <c r="AB27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7" s="201" t="str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NoK</v>
      </c>
      <c r="AD27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27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27" s="201" t="str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NoK</v>
      </c>
      <c r="AG27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7" s="201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0</v>
      </c>
      <c r="AI27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7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7" s="201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7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7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7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7" s="201">
        <f ca="1">IF(MinUnit[[#This Row],[Status]]&lt;&gt;"",SMALL(MinUnit[[#This Row],[aluminium]:[VibrationMotor]],COUNTIF(MinUnit[[#This Row],[aluminium]:[VibrationMotor]],0)+1),0)</f>
        <v>0</v>
      </c>
    </row>
    <row r="28" spans="1:41" hidden="1" x14ac:dyDescent="0.3">
      <c r="A28" s="191" t="s">
        <v>91</v>
      </c>
      <c r="B28" s="167">
        <f ca="1">MinUnit[[#This Row],[min]]</f>
        <v>0</v>
      </c>
      <c r="C28" s="188">
        <f ca="1">Pr_Inv[[#This Row],[max Unit]]*INDEX(MatVolPrice[[1 Unit Volume]:[1 Unit Volume]],MATCH(Pr_Inv[[#This Row],[Product]],MatVolPrice[[Product Name]:[Product Name]],0))/Space</f>
        <v>0</v>
      </c>
      <c r="D28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8" s="167">
        <f>SUBTOTAL(3,A$25:A28)</f>
        <v>0</v>
      </c>
      <c r="G28" s="166" t="s">
        <v>91</v>
      </c>
      <c r="H28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8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8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8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8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8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8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8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8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8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8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8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8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8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8" s="166"/>
      <c r="W28" s="166">
        <v>4</v>
      </c>
      <c r="X28" s="166" t="str">
        <f>IFERROR(INDEX(Pr_Inv[Product],MATCH(Table26[[#This Row],[Row]],Pr_Inv[Row],0)),"")</f>
        <v/>
      </c>
      <c r="Y28" s="166"/>
      <c r="Z28" s="166" t="s">
        <v>91</v>
      </c>
      <c r="AA28" s="201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28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8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8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28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28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8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8" s="201" t="str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NoK</v>
      </c>
      <c r="AI28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8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8" s="201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8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8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8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8" s="201">
        <f ca="1">IF(MinUnit[[#This Row],[Status]]&lt;&gt;"",SMALL(MinUnit[[#This Row],[aluminium]:[VibrationMotor]],COUNTIF(MinUnit[[#This Row],[aluminium]:[VibrationMotor]],0)+1),0)</f>
        <v>0</v>
      </c>
    </row>
    <row r="29" spans="1:41" hidden="1" x14ac:dyDescent="0.3">
      <c r="A29" s="191" t="s">
        <v>92</v>
      </c>
      <c r="B29" s="167">
        <f ca="1">MinUnit[[#This Row],[min]]</f>
        <v>0</v>
      </c>
      <c r="C29" s="188">
        <f ca="1">Pr_Inv[[#This Row],[max Unit]]*INDEX(MatVolPrice[[1 Unit Volume]:[1 Unit Volume]],MATCH(Pr_Inv[[#This Row],[Product]],MatVolPrice[[Product Name]:[Product Name]],0))/Space</f>
        <v>0</v>
      </c>
      <c r="D29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29" s="167">
        <f>SUBTOTAL(3,A$25:A29)</f>
        <v>0</v>
      </c>
      <c r="G29" s="166" t="s">
        <v>92</v>
      </c>
      <c r="H29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29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29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29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29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29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29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29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29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29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29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29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29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29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29" s="166"/>
      <c r="W29" s="166">
        <v>5</v>
      </c>
      <c r="X29" s="166" t="str">
        <f>IFERROR(INDEX(Pr_Inv[Product],MATCH(Table26[[#This Row],[Row]],Pr_Inv[Row],0)),"")</f>
        <v/>
      </c>
      <c r="Y29" s="166"/>
      <c r="Z29" s="166" t="s">
        <v>92</v>
      </c>
      <c r="AA29" s="201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0</v>
      </c>
      <c r="AB29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29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29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17000</v>
      </c>
      <c r="AE29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2000</v>
      </c>
      <c r="AF29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29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29" s="201" t="str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NoK</v>
      </c>
      <c r="AI29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29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29" s="201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29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29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29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29" s="201">
        <f ca="1">IF(MinUnit[[#This Row],[Status]]&lt;&gt;"",SMALL(MinUnit[[#This Row],[aluminium]:[VibrationMotor]],COUNTIF(MinUnit[[#This Row],[aluminium]:[VibrationMotor]],0)+1),0)</f>
        <v>0</v>
      </c>
    </row>
    <row r="30" spans="1:41" hidden="1" x14ac:dyDescent="0.3">
      <c r="A30" s="191" t="s">
        <v>93</v>
      </c>
      <c r="B30" s="167">
        <f ca="1">MinUnit[[#This Row],[min]]</f>
        <v>0</v>
      </c>
      <c r="C30" s="188">
        <f ca="1">Pr_Inv[[#This Row],[max Unit]]*INDEX(MatVolPrice[[1 Unit Volume]:[1 Unit Volume]],MATCH(Pr_Inv[[#This Row],[Product]],MatVolPrice[[Product Name]:[Product Name]],0))/Space</f>
        <v>0</v>
      </c>
      <c r="D30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30" s="167">
        <f>SUBTOTAL(3,A$25:A30)</f>
        <v>0</v>
      </c>
      <c r="G30" s="166" t="s">
        <v>93</v>
      </c>
      <c r="H30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30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30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30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30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30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30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30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30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30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30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30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30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30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30" s="166"/>
      <c r="W30" s="166">
        <v>6</v>
      </c>
      <c r="X30" s="166" t="str">
        <f>IFERROR(INDEX(Pr_Inv[Product],MATCH(Table26[[#This Row],[Row]],Pr_Inv[Row],0)),"")</f>
        <v/>
      </c>
      <c r="Y30" s="166"/>
      <c r="Z30" s="166" t="s">
        <v>93</v>
      </c>
      <c r="AA30" s="201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30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30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30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22666.666666666668</v>
      </c>
      <c r="AE30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30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30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30" s="201" t="str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NoK</v>
      </c>
      <c r="AI30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30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30" s="201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30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30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30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30" s="201">
        <f ca="1">IF(MinUnit[[#This Row],[Status]]&lt;&gt;"",SMALL(MinUnit[[#This Row],[aluminium]:[VibrationMotor]],COUNTIF(MinUnit[[#This Row],[aluminium]:[VibrationMotor]],0)+1),0)</f>
        <v>0</v>
      </c>
    </row>
    <row r="31" spans="1:41" hidden="1" x14ac:dyDescent="0.3">
      <c r="A31" s="191" t="s">
        <v>94</v>
      </c>
      <c r="B31" s="167">
        <f ca="1">MinUnit[[#This Row],[min]]</f>
        <v>0</v>
      </c>
      <c r="C31" s="188">
        <f ca="1">Pr_Inv[[#This Row],[max Unit]]*INDEX(MatVolPrice[[1 Unit Volume]:[1 Unit Volume]],MATCH(Pr_Inv[[#This Row],[Product]],MatVolPrice[[Product Name]:[Product Name]],0))/Space</f>
        <v>0</v>
      </c>
      <c r="D31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31" s="167">
        <f>SUBTOTAL(3,A$25:A31)</f>
        <v>0</v>
      </c>
      <c r="G31" s="166" t="s">
        <v>94</v>
      </c>
      <c r="H31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31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31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31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31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31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31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31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31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31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31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31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31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31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31" s="166"/>
      <c r="W31" s="166">
        <v>7</v>
      </c>
      <c r="X31" s="166" t="str">
        <f>IFERROR(INDEX(Pr_Inv[Product],MATCH(Table26[[#This Row],[Row]],Pr_Inv[Row],0)),"")</f>
        <v/>
      </c>
      <c r="Y31" s="166"/>
      <c r="Z31" s="166" t="s">
        <v>94</v>
      </c>
      <c r="AA31" s="201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31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31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31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31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0</v>
      </c>
      <c r="AF31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31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31" s="201" t="str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NoK</v>
      </c>
      <c r="AI31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31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31" s="201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0</v>
      </c>
      <c r="AL31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31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31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31" s="201">
        <f ca="1">IF(MinUnit[[#This Row],[Status]]&lt;&gt;"",SMALL(MinUnit[[#This Row],[aluminium]:[VibrationMotor]],COUNTIF(MinUnit[[#This Row],[aluminium]:[VibrationMotor]],0)+1),0)</f>
        <v>0</v>
      </c>
    </row>
    <row r="32" spans="1:41" hidden="1" x14ac:dyDescent="0.3">
      <c r="A32" s="200" t="s">
        <v>95</v>
      </c>
      <c r="B32" s="167">
        <f ca="1">MinUnit[[#This Row],[min]]</f>
        <v>0</v>
      </c>
      <c r="C32" s="188">
        <f ca="1">Pr_Inv[[#This Row],[max Unit]]*INDEX(MatVolPrice[[1 Unit Volume]:[1 Unit Volume]],MATCH(Pr_Inv[[#This Row],[Product]],MatVolPrice[[Product Name]:[Product Name]],0))/Space</f>
        <v>0</v>
      </c>
      <c r="D32" s="192">
        <f ca="1">ROUND(Pr_Inv[[#This Row],[max Unit]]/INDEX(MatVolPrice[[Production Rate
 (for 1 game day ~ 8seconds)]:[Production Rate
 (for 1 game day ~ 8seconds)]],MATCH(Pr_Inv[[#This Row],[Product]],MatVolPrice[[Product Name]:[Product Name]],0))*8,0)</f>
        <v>0</v>
      </c>
      <c r="E32" s="167">
        <f>SUBTOTAL(3,A$25:A32)</f>
        <v>0</v>
      </c>
      <c r="G32" s="166" t="s">
        <v>95</v>
      </c>
      <c r="H32" s="201">
        <f ca="1">INDEX(midL1[[aluminium]:[VibrationMotor]],MATCH(PrMatAmt_Inv[[Product]:[Product]],midL1[[Product Name]:[Product Name]],0),MATCH(PrMatAmt_Inv[[#Headers],[aluminium]],midL1[[#Headers],[aluminium]:[VibrationMotor]],0))*Pr_Inv[[max Unit]:[max Unit]]</f>
        <v>0</v>
      </c>
      <c r="I32" s="201">
        <f ca="1">INDEX(midL1[[aluminium]:[VibrationMotor]],MATCH(PrMatAmt_Inv[[Product]:[Product]],midL1[[Product Name]:[Product Name]],0),MATCH(PrMatAmt_Inv[[#Headers],[chips]],midL1[[#Headers],[aluminium]:[VibrationMotor]],0))*Pr_Inv[[max Unit]:[max Unit]]</f>
        <v>0</v>
      </c>
      <c r="J32" s="201">
        <f ca="1">INDEX(midL1[[aluminium]:[VibrationMotor]],MATCH(PrMatAmt_Inv[[Product]:[Product]],midL1[[Product Name]:[Product Name]],0),MATCH(PrMatAmt_Inv[[#Headers],[cobalt]],midL1[[#Headers],[aluminium]:[VibrationMotor]],0))*Pr_Inv[[max Unit]:[max Unit]]</f>
        <v>0</v>
      </c>
      <c r="K32" s="201">
        <f ca="1">INDEX(midL1[[aluminium]:[VibrationMotor]],MATCH(PrMatAmt_Inv[[Product]:[Product]],midL1[[Product Name]:[Product Name]],0),MATCH(PrMatAmt_Inv[[#Headers],[copper]],midL1[[#Headers],[aluminium]:[VibrationMotor]],0))*Pr_Inv[[max Unit]:[max Unit]]</f>
        <v>0</v>
      </c>
      <c r="L32" s="201">
        <f ca="1">INDEX(midL1[[aluminium]:[VibrationMotor]],MATCH(PrMatAmt_Inv[[Product]:[Product]],midL1[[Product Name]:[Product Name]],0),MATCH(PrMatAmt_Inv[[#Headers],[glass]],midL1[[#Headers],[aluminium]:[VibrationMotor]],0))*Pr_Inv[[max Unit]:[max Unit]]</f>
        <v>0</v>
      </c>
      <c r="M32" s="201">
        <f ca="1">INDEX(midL1[[aluminium]:[VibrationMotor]],MATCH(PrMatAmt_Inv[[Product]:[Product]],midL1[[Product Name]:[Product Name]],0),MATCH(PrMatAmt_Inv[[#Headers],[lithium]],midL1[[#Headers],[aluminium]:[VibrationMotor]],0))*Pr_Inv[[max Unit]:[max Unit]]</f>
        <v>0</v>
      </c>
      <c r="N32" s="201">
        <f ca="1">INDEX(midL1[[aluminium]:[VibrationMotor]],MATCH(PrMatAmt_Inv[[Product]:[Product]],midL1[[Product Name]:[Product Name]],0),MATCH(PrMatAmt_Inv[[#Headers],[microphone]],midL1[[#Headers],[aluminium]:[VibrationMotor]],0))*Pr_Inv[[max Unit]:[max Unit]]</f>
        <v>0</v>
      </c>
      <c r="O32" s="201">
        <f ca="1">INDEX(midL1[[aluminium]:[VibrationMotor]],MATCH(PrMatAmt_Inv[[Product]:[Product]],midL1[[Product Name]:[Product Name]],0),MATCH(PrMatAmt_Inv[[#Headers],[plastic]],midL1[[#Headers],[aluminium]:[VibrationMotor]],0))*Pr_Inv[[max Unit]:[max Unit]]</f>
        <v>0</v>
      </c>
      <c r="P32" s="201">
        <f ca="1">INDEX(midL1[[aluminium]:[VibrationMotor]],MATCH(PrMatAmt_Inv[[Product]:[Product]],midL1[[Product Name]:[Product Name]],0),MATCH(PrMatAmt_Inv[[#Headers],[ports]],midL1[[#Headers],[aluminium]:[VibrationMotor]],0))*Pr_Inv[[max Unit]:[max Unit]]</f>
        <v>0</v>
      </c>
      <c r="Q32" s="201">
        <f ca="1">INDEX(midL1[[aluminium]:[VibrationMotor]],MATCH(PrMatAmt_Inv[[Product]:[Product]],midL1[[Product Name]:[Product Name]],0),MATCH(PrMatAmt_Inv[[#Headers],[processors]],midL1[[#Headers],[aluminium]:[VibrationMotor]],0))*Pr_Inv[[max Unit]:[max Unit]]</f>
        <v>0</v>
      </c>
      <c r="R32" s="201">
        <f ca="1">INDEX(midL1[[aluminium]:[VibrationMotor]],MATCH(PrMatAmt_Inv[[Product]:[Product]],midL1[[Product Name]:[Product Name]],0),MATCH(PrMatAmt_Inv[[#Headers],[silicon]],midL1[[#Headers],[aluminium]:[VibrationMotor]],0))*Pr_Inv[[max Unit]:[max Unit]]</f>
        <v>0</v>
      </c>
      <c r="S32" s="201">
        <f ca="1">INDEX(midL1[[aluminium]:[VibrationMotor]],MATCH(PrMatAmt_Inv[[Product]:[Product]],midL1[[Product Name]:[Product Name]],0),MATCH(PrMatAmt_Inv[[#Headers],[speaker]],midL1[[#Headers],[aluminium]:[VibrationMotor]],0))*Pr_Inv[[max Unit]:[max Unit]]</f>
        <v>0</v>
      </c>
      <c r="T32" s="201">
        <f ca="1">INDEX(midL1[[aluminium]:[VibrationMotor]],MATCH(PrMatAmt_Inv[[Product]:[Product]],midL1[[Product Name]:[Product Name]],0),MATCH(PrMatAmt_Inv[[#Headers],[VibrationMotor]],midL1[[#Headers],[aluminium]:[VibrationMotor]],0))*Pr_Inv[[max Unit]:[max Unit]]</f>
        <v>0</v>
      </c>
      <c r="U32" s="201" t="str">
        <f ca="1">IF(AND(INDEX(INDIRECT(PrMatAmt_Inv[[#Headers],[aluminium]]),1,1)&gt;=PrMatAmt_Inv[[#This Row],[aluminium]],INDEX(INDIRECT(PrMatAmt_Inv[[#Headers],[chips]]),1,1)&gt;=PrMatAmt_Inv[[#This Row],[chips]],INDEX(INDIRECT(PrMatAmt_Inv[[#Headers],[cobalt]]),1,1)&gt;=PrMatAmt_Inv[[#This Row],[cobalt]],INDEX(INDIRECT(PrMatAmt_Inv[[#Headers],[copper]]),1,1)&gt;=PrMatAmt_Inv[[#This Row],[copper]],INDEX(INDIRECT(PrMatAmt_Inv[[#Headers],[glass]]),1,1)&gt;=PrMatAmt_Inv[[#This Row],[glass]],INDEX(INDIRECT(PrMatAmt_Inv[[#Headers],[lithium]]),1,1)&gt;=PrMatAmt_Inv[[#This Row],[lithium]],INDEX(INDIRECT(PrMatAmt_Inv[[#Headers],[microphone]]),1,1)&gt;=PrMatAmt_Inv[[#This Row],[microphone]],INDEX(INDIRECT(PrMatAmt_Inv[[#Headers],[plastic]]),1,1)&gt;=PrMatAmt_Inv[[#This Row],[plastic]],INDEX(INDIRECT(PrMatAmt_Inv[[#Headers],[ports]]),1,1)&gt;=PrMatAmt_Inv[[#This Row],[ports]],INDEX(INDIRECT(PrMatAmt_Inv[[#Headers],[processors]]),1,1)&gt;=PrMatAmt_Inv[[#This Row],[processors]],INDEX(INDIRECT(PrMatAmt_Inv[[#Headers],[silicon]]),1,1)&gt;=PrMatAmt_Inv[[#This Row],[silicon]],INDEX(INDIRECT(PrMatAmt_Inv[[#Headers],[speaker]]),1,1)&gt;=PrMatAmt_Inv[[#This Row],[speaker]],INDEX(INDIRECT(PrMatAmt_Inv[[#Headers],[VibrationMotor]]),1,1)&gt;=PrMatAmt_Inv[[#This Row],[VibrationMotor]]),"OK","")</f>
        <v>OK</v>
      </c>
      <c r="V32" s="166"/>
      <c r="W32" s="166">
        <v>8</v>
      </c>
      <c r="X32" s="166" t="str">
        <f>IFERROR(INDEX(Pr_Inv[Product],MATCH(Table26[[#This Row],[Row]],Pr_Inv[Row],0)),"")</f>
        <v/>
      </c>
      <c r="Y32" s="166"/>
      <c r="Z32" s="166" t="s">
        <v>95</v>
      </c>
      <c r="AA32" s="201" t="str">
        <f ca="1">IF(INDEX(midL1[[aluminium]:[VibrationMotor]],MATCH(MinUnit[[Product]:[Product]],midL1[[Product Name]:[Product Name]],0),MATCH(MinUnit[[#Headers],[aluminium]],midL1[[#Headers],[aluminium]:[VibrationMotor]],0))=0,0,IF(INDEX(INDIRECT(MinUnit[[#Headers],[aluminium]]),1,1)/INDEX(midL1[[aluminium]:[VibrationMotor]],MATCH(MinUnit[[Product]:[Product]],midL1[[Product Name]:[Product Name]],0),MATCH(MinUnit[[#Headers],[aluminium]],midL1[[#Headers],[aluminium]:[VibrationMotor]],0))=0,"NoK",INDEX(INDIRECT(MinUnit[[#Headers],[aluminium]]),1,1)/INDEX(midL1[[aluminium]:[VibrationMotor]],MATCH(MinUnit[[Product]:[Product]],midL1[[Product Name]:[Product Name]],0),MATCH(MinUnit[[#Headers],[aluminium]],midL1[[#Headers],[aluminium]:[VibrationMotor]],0))))</f>
        <v>NoK</v>
      </c>
      <c r="AB32" s="201">
        <f ca="1">IF(INDEX(midL1[[aluminium]:[VibrationMotor]],MATCH(MinUnit[[Product]:[Product]],midL1[[Product Name]:[Product Name]],0),MATCH(MinUnit[[#Headers],[chips]],midL1[[#Headers],[aluminium]:[VibrationMotor]],0))=0,0,IF(INDEX(INDIRECT(MinUnit[[#Headers],[chips]]),1,1)/INDEX(midL1[[aluminium]:[VibrationMotor]],MATCH(MinUnit[[Product]:[Product]],midL1[[Product Name]:[Product Name]],0),MATCH(MinUnit[[#Headers],[chips]],midL1[[#Headers],[aluminium]:[VibrationMotor]],0))=0,"NoK",INDEX(INDIRECT(MinUnit[[#Headers],[chips]]),1,1)/INDEX(midL1[[aluminium]:[VibrationMotor]],MATCH(MinUnit[[Product]:[Product]],midL1[[Product Name]:[Product Name]],0),MATCH(MinUnit[[#Headers],[chips]],midL1[[#Headers],[aluminium]:[VibrationMotor]],0))))</f>
        <v>0</v>
      </c>
      <c r="AC32" s="201">
        <f ca="1">IF(INDEX(midL1[[aluminium]:[VibrationMotor]],MATCH(MinUnit[[Product]:[Product]],midL1[[Product Name]:[Product Name]],0),MATCH(MinUnit[[#Headers],[cobalt]],midL1[[#Headers],[aluminium]:[VibrationMotor]],0))=0,0,IF(INDEX(INDIRECT(MinUnit[[#Headers],[cobalt]]),1,1)/INDEX(midL1[[aluminium]:[VibrationMotor]],MATCH(MinUnit[[Product]:[Product]],midL1[[Product Name]:[Product Name]],0),MATCH(MinUnit[[#Headers],[cobalt]],midL1[[#Headers],[aluminium]:[VibrationMotor]],0))=0,"NoK",INDEX(INDIRECT(MinUnit[[#Headers],[cobalt]]),1,1)/INDEX(midL1[[aluminium]:[VibrationMotor]],MATCH(MinUnit[[Product]:[Product]],midL1[[Product Name]:[Product Name]],0),MATCH(MinUnit[[#Headers],[cobalt]],midL1[[#Headers],[aluminium]:[VibrationMotor]],0))))</f>
        <v>0</v>
      </c>
      <c r="AD32" s="201">
        <f ca="1">IF(INDEX(midL1[[aluminium]:[VibrationMotor]],MATCH(MinUnit[[Product]:[Product]],midL1[[Product Name]:[Product Name]],0),MATCH(MinUnit[[#Headers],[copper]],midL1[[#Headers],[aluminium]:[VibrationMotor]],0))=0,0,IF(INDEX(INDIRECT(MinUnit[[#Headers],[copper]]),1,1)/INDEX(midL1[[aluminium]:[VibrationMotor]],MATCH(MinUnit[[Product]:[Product]],midL1[[Product Name]:[Product Name]],0),MATCH(MinUnit[[#Headers],[copper]],midL1[[#Headers],[aluminium]:[VibrationMotor]],0))=0,"NoK",INDEX(INDIRECT(MinUnit[[#Headers],[copper]]),1,1)/INDEX(midL1[[aluminium]:[VibrationMotor]],MATCH(MinUnit[[Product]:[Product]],midL1[[Product Name]:[Product Name]],0),MATCH(MinUnit[[#Headers],[copper]],midL1[[#Headers],[aluminium]:[VibrationMotor]],0))))</f>
        <v>0</v>
      </c>
      <c r="AE32" s="201">
        <f ca="1">IF(INDEX(midL1[[aluminium]:[VibrationMotor]],MATCH(MinUnit[[Product]:[Product]],midL1[[Product Name]:[Product Name]],0),MATCH(MinUnit[[#Headers],[glass]],midL1[[#Headers],[aluminium]:[VibrationMotor]],0))=0,0,IF(INDEX(INDIRECT(MinUnit[[#Headers],[glass]]),1,1)/INDEX(midL1[[aluminium]:[VibrationMotor]],MATCH(MinUnit[[Product]:[Product]],midL1[[Product Name]:[Product Name]],0),MATCH(MinUnit[[#Headers],[glass]],midL1[[#Headers],[aluminium]:[VibrationMotor]],0))=0,"NoK",INDEX(INDIRECT(MinUnit[[#Headers],[glass]]),1,1)/INDEX(midL1[[aluminium]:[VibrationMotor]],MATCH(MinUnit[[Product]:[Product]],midL1[[Product Name]:[Product Name]],0),MATCH(MinUnit[[#Headers],[glass]],midL1[[#Headers],[aluminium]:[VibrationMotor]],0))))</f>
        <v>177.77777777777777</v>
      </c>
      <c r="AF32" s="201">
        <f ca="1">IF(INDEX(midL1[[aluminium]:[VibrationMotor]],MATCH(MinUnit[[Product]:[Product]],midL1[[Product Name]:[Product Name]],0),MATCH(MinUnit[[#Headers],[lithium]],midL1[[#Headers],[aluminium]:[VibrationMotor]],0))=0,0,IF(INDEX(INDIRECT(MinUnit[[#Headers],[lithium]]),1,1)/INDEX(midL1[[aluminium]:[VibrationMotor]],MATCH(MinUnit[[Product]:[Product]],midL1[[Product Name]:[Product Name]],0),MATCH(MinUnit[[#Headers],[lithium]],midL1[[#Headers],[aluminium]:[VibrationMotor]],0))=0,"NoK",INDEX(INDIRECT(MinUnit[[#Headers],[lithium]]),1,1)/INDEX(midL1[[aluminium]:[VibrationMotor]],MATCH(MinUnit[[Product]:[Product]],midL1[[Product Name]:[Product Name]],0),MATCH(MinUnit[[#Headers],[lithium]],midL1[[#Headers],[aluminium]:[VibrationMotor]],0))))</f>
        <v>0</v>
      </c>
      <c r="AG32" s="201">
        <f ca="1">IF(INDEX(midL1[[aluminium]:[VibrationMotor]],MATCH(MinUnit[[Product]:[Product]],midL1[[Product Name]:[Product Name]],0),MATCH(MinUnit[[#Headers],[microphone]],midL1[[#Headers],[aluminium]:[VibrationMotor]],0))=0,0,IF(INDEX(INDIRECT(MinUnit[[#Headers],[microphone]]),1,1)/INDEX(midL1[[aluminium]:[VibrationMotor]],MATCH(MinUnit[[Product]:[Product]],midL1[[Product Name]:[Product Name]],0),MATCH(MinUnit[[#Headers],[microphone]],midL1[[#Headers],[aluminium]:[VibrationMotor]],0))=0,"NoK",INDEX(INDIRECT(MinUnit[[#Headers],[microphone]]),1,1)/INDEX(midL1[[aluminium]:[VibrationMotor]],MATCH(MinUnit[[Product]:[Product]],midL1[[Product Name]:[Product Name]],0),MATCH(MinUnit[[#Headers],[microphone]],midL1[[#Headers],[aluminium]:[VibrationMotor]],0))))</f>
        <v>0</v>
      </c>
      <c r="AH32" s="201">
        <f ca="1">IF(INDEX(midL1[[aluminium]:[VibrationMotor]],MATCH(MinUnit[[Product]:[Product]],midL1[[Product Name]:[Product Name]],0),MATCH(MinUnit[[#Headers],[plastic]],midL1[[#Headers],[aluminium]:[VibrationMotor]],0))=0,0,IF(INDEX(INDIRECT(MinUnit[[#Headers],[plastic]]),1,1)/INDEX(midL1[[aluminium]:[VibrationMotor]],MATCH(MinUnit[[Product]:[Product]],midL1[[Product Name]:[Product Name]],0),MATCH(MinUnit[[#Headers],[plastic]],midL1[[#Headers],[aluminium]:[VibrationMotor]],0))=0,"NoK",INDEX(INDIRECT(MinUnit[[#Headers],[plastic]]),1,1)/INDEX(midL1[[aluminium]:[VibrationMotor]],MATCH(MinUnit[[Product]:[Product]],midL1[[Product Name]:[Product Name]],0),MATCH(MinUnit[[#Headers],[plastic]],midL1[[#Headers],[aluminium]:[VibrationMotor]],0))))</f>
        <v>0</v>
      </c>
      <c r="AI32" s="201">
        <f ca="1">IF(INDEX(midL1[[aluminium]:[VibrationMotor]],MATCH(MinUnit[[Product]:[Product]],midL1[[Product Name]:[Product Name]],0),MATCH(MinUnit[[#Headers],[ports]],midL1[[#Headers],[aluminium]:[VibrationMotor]],0))=0,0,IF(INDEX(INDIRECT(MinUnit[[#Headers],[ports]]),1,1)/INDEX(midL1[[aluminium]:[VibrationMotor]],MATCH(MinUnit[[Product]:[Product]],midL1[[Product Name]:[Product Name]],0),MATCH(MinUnit[[#Headers],[ports]],midL1[[#Headers],[aluminium]:[VibrationMotor]],0))=0,"NoK",INDEX(INDIRECT(MinUnit[[#Headers],[ports]]),1,1)/INDEX(midL1[[aluminium]:[VibrationMotor]],MATCH(MinUnit[[Product]:[Product]],midL1[[Product Name]:[Product Name]],0),MATCH(MinUnit[[#Headers],[ports]],midL1[[#Headers],[aluminium]:[VibrationMotor]],0))))</f>
        <v>0</v>
      </c>
      <c r="AJ32" s="201">
        <f ca="1">IF(INDEX(midL1[[aluminium]:[VibrationMotor]],MATCH(MinUnit[[Product]:[Product]],midL1[[Product Name]:[Product Name]],0),MATCH(MinUnit[[#Headers],[processors]],midL1[[#Headers],[aluminium]:[VibrationMotor]],0))=0,0,IF(INDEX(INDIRECT(MinUnit[[#Headers],[processors]]),1,1)/INDEX(midL1[[aluminium]:[VibrationMotor]],MATCH(MinUnit[[Product]:[Product]],midL1[[Product Name]:[Product Name]],0),MATCH(MinUnit[[#Headers],[processors]],midL1[[#Headers],[aluminium]:[VibrationMotor]],0))=0,"NoK",INDEX(INDIRECT(MinUnit[[#Headers],[processors]]),1,1)/INDEX(midL1[[aluminium]:[VibrationMotor]],MATCH(MinUnit[[Product]:[Product]],midL1[[Product Name]:[Product Name]],0),MATCH(MinUnit[[#Headers],[processors]],midL1[[#Headers],[aluminium]:[VibrationMotor]],0))))</f>
        <v>0</v>
      </c>
      <c r="AK32" s="201" t="str">
        <f ca="1">IF(INDEX(midL1[[aluminium]:[VibrationMotor]],MATCH(MinUnit[[Product]:[Product]],midL1[[Product Name]:[Product Name]],0),MATCH(MinUnit[[#Headers],[silicon]],midL1[[#Headers],[aluminium]:[VibrationMotor]],0))=0,0,IF(INDEX(INDIRECT(MinUnit[[#Headers],[silicon]]),1,1)/INDEX(midL1[[aluminium]:[VibrationMotor]],MATCH(MinUnit[[Product]:[Product]],midL1[[Product Name]:[Product Name]],0),MATCH(MinUnit[[#Headers],[silicon]],midL1[[#Headers],[aluminium]:[VibrationMotor]],0))=0,"NoK",INDEX(INDIRECT(MinUnit[[#Headers],[silicon]]),1,1)/INDEX(midL1[[aluminium]:[VibrationMotor]],MATCH(MinUnit[[Product]:[Product]],midL1[[Product Name]:[Product Name]],0),MATCH(MinUnit[[#Headers],[silicon]],midL1[[#Headers],[aluminium]:[VibrationMotor]],0))))</f>
        <v>NoK</v>
      </c>
      <c r="AL32" s="201">
        <f ca="1">IF(INDEX(midL1[[aluminium]:[VibrationMotor]],MATCH(MinUnit[[Product]:[Product]],midL1[[Product Name]:[Product Name]],0),MATCH(MinUnit[[#Headers],[speaker]],midL1[[#Headers],[aluminium]:[VibrationMotor]],0))=0,0,IF(INDEX(INDIRECT(MinUnit[[#Headers],[speaker]]),1,1)/INDEX(midL1[[aluminium]:[VibrationMotor]],MATCH(MinUnit[[Product]:[Product]],midL1[[Product Name]:[Product Name]],0),MATCH(MinUnit[[#Headers],[speaker]],midL1[[#Headers],[aluminium]:[VibrationMotor]],0))=0,"NoK",INDEX(INDIRECT(MinUnit[[#Headers],[speaker]]),1,1)/INDEX(midL1[[aluminium]:[VibrationMotor]],MATCH(MinUnit[[Product]:[Product]],midL1[[Product Name]:[Product Name]],0),MATCH(MinUnit[[#Headers],[speaker]],midL1[[#Headers],[aluminium]:[VibrationMotor]],0))))</f>
        <v>0</v>
      </c>
      <c r="AM32" s="201">
        <f ca="1">IF(INDEX(midL1[[aluminium]:[VibrationMotor]],MATCH(MinUnit[[Product]:[Product]],midL1[[Product Name]:[Product Name]],0),MATCH(MinUnit[[#Headers],[VibrationMotor]],midL1[[#Headers],[aluminium]:[VibrationMotor]],0))=0,0,IF(INDEX(INDIRECT(MinUnit[[#Headers],[VibrationMotor]]),1,1)/INDEX(midL1[[aluminium]:[VibrationMotor]],MATCH(MinUnit[[Product]:[Product]],midL1[[Product Name]:[Product Name]],0),MATCH(MinUnit[[#Headers],[VibrationMotor]],midL1[[#Headers],[aluminium]:[VibrationMotor]],0))=0,"NoK",INDEX(INDIRECT(MinUnit[[#Headers],[VibrationMotor]]),1,1)/INDEX(midL1[[aluminium]:[VibrationMotor]],MATCH(MinUnit[[Product]:[Product]],midL1[[Product Name]:[Product Name]],0),MATCH(MinUnit[[#Headers],[VibrationMotor]],midL1[[#Headers],[aluminium]:[VibrationMotor]],0))))</f>
        <v>0</v>
      </c>
      <c r="AN32" s="201" t="str">
        <f ca="1">IF(AND(INDEX(INDIRECT(MinUnit[[#Headers],[aluminium]]),1,1)&gt;=MinUnit[[#This Row],[aluminium]],INDEX(INDIRECT(MinUnit[[#Headers],[chips]]),1,1)&gt;=MinUnit[[#This Row],[chips]],INDEX(INDIRECT(MinUnit[[#Headers],[cobalt]]),1,1)&gt;=MinUnit[[#This Row],[cobalt]],INDEX(INDIRECT(MinUnit[[#Headers],[copper]]),1,1)&gt;=MinUnit[[#This Row],[copper]],INDEX(INDIRECT(MinUnit[[#Headers],[glass]]),1,1)&gt;=MinUnit[[#This Row],[glass]],INDEX(INDIRECT(MinUnit[[#Headers],[lithium]]),1,1)&gt;=MinUnit[[#This Row],[lithium]],INDEX(INDIRECT(MinUnit[[#Headers],[microphone]]),1,1)&gt;=MinUnit[[#This Row],[microphone]],INDEX(INDIRECT(MinUnit[[#Headers],[plastic]]),1,1)&gt;=MinUnit[[#This Row],[plastic]],INDEX(INDIRECT(MinUnit[[#Headers],[ports]]),1,1)&gt;=MinUnit[[#This Row],[ports]],INDEX(INDIRECT(MinUnit[[#Headers],[processors]]),1,1)&gt;=MinUnit[[#This Row],[processors]],INDEX(INDIRECT(MinUnit[[#Headers],[silicon]]),1,1)&gt;=MinUnit[[#This Row],[silicon]],INDEX(INDIRECT(MinUnit[[#Headers],[speaker]]),1,1)&gt;=MinUnit[[#This Row],[speaker]],INDEX(INDIRECT(MinUnit[[#Headers],[VibrationMotor]]),1,1)&gt;=MinUnit[[#This Row],[VibrationMotor]]),"OK","")</f>
        <v/>
      </c>
      <c r="AO32" s="201">
        <f ca="1">IF(MinUnit[[#This Row],[Status]]&lt;&gt;"",SMALL(MinUnit[[#This Row],[aluminium]:[VibrationMotor]],COUNTIF(MinUnit[[#This Row],[aluminium]:[VibrationMotor]],0)+1),0)</f>
        <v>0</v>
      </c>
    </row>
    <row r="33" spans="1:27" x14ac:dyDescent="0.3"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</row>
    <row r="34" spans="1:27" x14ac:dyDescent="0.3">
      <c r="I34" s="165"/>
      <c r="J34" s="165"/>
      <c r="K34" s="165"/>
      <c r="L34" s="165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</row>
    <row r="35" spans="1:27" x14ac:dyDescent="0.3">
      <c r="D35" s="166">
        <f>MAX(Pr_Inv[Row])</f>
        <v>0</v>
      </c>
      <c r="I35" s="165"/>
      <c r="J35" s="165"/>
      <c r="K35" s="165"/>
      <c r="L35" s="165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</row>
    <row r="36" spans="1:27" x14ac:dyDescent="0.3">
      <c r="I36" s="165"/>
      <c r="J36" s="165"/>
      <c r="K36" s="165"/>
      <c r="L36" s="165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</row>
    <row r="37" spans="1:27" ht="21" x14ac:dyDescent="0.3">
      <c r="A37" s="256" t="s">
        <v>180</v>
      </c>
      <c r="B37" s="256"/>
      <c r="C37" s="256"/>
      <c r="D37" s="256"/>
      <c r="E37" s="256"/>
      <c r="F37" s="256"/>
      <c r="G37" s="256"/>
      <c r="H37" s="256"/>
      <c r="I37" s="165"/>
      <c r="J37" s="165"/>
      <c r="K37" s="165"/>
      <c r="L37" s="165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</row>
    <row r="38" spans="1:27" x14ac:dyDescent="0.3">
      <c r="I38" s="165"/>
      <c r="J38" s="165"/>
      <c r="K38" s="165"/>
      <c r="L38" s="165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</row>
    <row r="39" spans="1:27" x14ac:dyDescent="0.3">
      <c r="A39" s="193" t="s">
        <v>141</v>
      </c>
      <c r="B39" s="193" t="s">
        <v>111</v>
      </c>
      <c r="C39" s="193" t="s">
        <v>170</v>
      </c>
      <c r="D39" s="193" t="s">
        <v>173</v>
      </c>
      <c r="E39" s="193" t="s">
        <v>184</v>
      </c>
      <c r="F39" s="193" t="s">
        <v>167</v>
      </c>
      <c r="G39" s="193" t="s">
        <v>182</v>
      </c>
      <c r="H39" s="193" t="s">
        <v>56</v>
      </c>
      <c r="I39" s="165"/>
      <c r="J39" s="165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</row>
    <row r="40" spans="1:27" x14ac:dyDescent="0.3">
      <c r="A40" s="194"/>
      <c r="B40" s="194"/>
      <c r="C40" s="195"/>
      <c r="D40" s="196"/>
      <c r="E40" s="194"/>
      <c r="F40" s="194"/>
      <c r="G40" s="194"/>
      <c r="H40" s="197"/>
      <c r="I40" s="165"/>
      <c r="J40" s="165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</row>
    <row r="41" spans="1:27" x14ac:dyDescent="0.3">
      <c r="I41" s="165"/>
      <c r="J41" s="165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</row>
    <row r="42" spans="1:27" x14ac:dyDescent="0.3">
      <c r="I42" s="165"/>
      <c r="J42" s="165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</row>
    <row r="43" spans="1:27" ht="21" x14ac:dyDescent="0.3">
      <c r="A43" s="256" t="s">
        <v>183</v>
      </c>
      <c r="B43" s="256"/>
      <c r="C43" s="256"/>
      <c r="D43" s="256"/>
      <c r="E43" s="256"/>
      <c r="F43" s="256"/>
      <c r="G43" s="256"/>
      <c r="H43" s="256"/>
      <c r="I43" s="165"/>
      <c r="J43" s="165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</row>
    <row r="44" spans="1:27" x14ac:dyDescent="0.3">
      <c r="I44" s="165"/>
      <c r="J44" s="165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</row>
    <row r="45" spans="1:27" x14ac:dyDescent="0.3">
      <c r="A45" s="167" t="s">
        <v>141</v>
      </c>
      <c r="B45" s="167" t="s">
        <v>111</v>
      </c>
      <c r="C45" s="167" t="s">
        <v>170</v>
      </c>
      <c r="D45" s="167" t="s">
        <v>173</v>
      </c>
      <c r="E45" s="167" t="s">
        <v>184</v>
      </c>
      <c r="F45" s="167" t="s">
        <v>167</v>
      </c>
      <c r="G45" s="167" t="s">
        <v>182</v>
      </c>
      <c r="H45" s="167" t="s">
        <v>56</v>
      </c>
      <c r="I45" s="165"/>
      <c r="J45" s="165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</row>
    <row r="46" spans="1:27" x14ac:dyDescent="0.3">
      <c r="A46" s="167"/>
      <c r="B46" s="167"/>
      <c r="C46" s="188"/>
      <c r="D46" s="198"/>
      <c r="E46" s="167"/>
      <c r="F46" s="167"/>
      <c r="G46" s="167"/>
      <c r="H46" s="199"/>
      <c r="I46" s="165"/>
      <c r="J46" s="165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</row>
    <row r="47" spans="1:27" x14ac:dyDescent="0.3">
      <c r="I47" s="165"/>
      <c r="J47" s="165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</row>
    <row r="48" spans="1:27" x14ac:dyDescent="0.3">
      <c r="I48" s="165"/>
      <c r="J48" s="165"/>
      <c r="K48" s="165"/>
      <c r="L48" s="165"/>
    </row>
    <row r="49" spans="1:12" ht="21" x14ac:dyDescent="0.3">
      <c r="A49" s="256" t="s">
        <v>186</v>
      </c>
      <c r="B49" s="256"/>
      <c r="C49" s="256"/>
      <c r="D49" s="202"/>
      <c r="I49" s="165"/>
      <c r="J49" s="165"/>
      <c r="K49" s="165"/>
      <c r="L49" s="165"/>
    </row>
    <row r="50" spans="1:12" x14ac:dyDescent="0.3">
      <c r="I50" s="165"/>
      <c r="J50" s="165"/>
      <c r="K50" s="165"/>
      <c r="L50" s="165"/>
    </row>
    <row r="51" spans="1:12" x14ac:dyDescent="0.3">
      <c r="A51" s="167" t="s">
        <v>141</v>
      </c>
      <c r="B51" s="167" t="s">
        <v>111</v>
      </c>
      <c r="C51" s="167" t="s">
        <v>170</v>
      </c>
      <c r="G51" s="165"/>
      <c r="H51" s="165"/>
      <c r="I51" s="165"/>
      <c r="J51" s="165"/>
    </row>
    <row r="52" spans="1:12" hidden="1" x14ac:dyDescent="0.3">
      <c r="A52" s="191" t="s">
        <v>88</v>
      </c>
      <c r="B52" s="167">
        <v>0</v>
      </c>
      <c r="C52" s="188">
        <f>ProductInventory[[#This Row],[Unit]]*INDEX(MatVolPrice[[1 Unit Volume]:[1 Unit Volume]],MATCH(ProductInventory[[#This Row],[Product]],MatVolPrice[[Product Name]:[Product Name]],0))/Space</f>
        <v>0</v>
      </c>
      <c r="G52" s="165"/>
      <c r="H52" s="165"/>
      <c r="I52" s="165"/>
      <c r="J52" s="165"/>
    </row>
    <row r="53" spans="1:12" hidden="1" x14ac:dyDescent="0.3">
      <c r="A53" s="191" t="s">
        <v>89</v>
      </c>
      <c r="B53" s="167">
        <v>0</v>
      </c>
      <c r="C53" s="188">
        <f>ProductInventory[[#This Row],[Unit]]*INDEX(MatVolPrice[[1 Unit Volume]:[1 Unit Volume]],MATCH(ProductInventory[[#This Row],[Product]],MatVolPrice[[Product Name]:[Product Name]],0))/Space</f>
        <v>0</v>
      </c>
      <c r="G53" s="165"/>
      <c r="H53" s="165"/>
      <c r="I53" s="165"/>
      <c r="J53" s="165"/>
    </row>
    <row r="54" spans="1:12" hidden="1" x14ac:dyDescent="0.3">
      <c r="A54" s="191" t="s">
        <v>90</v>
      </c>
      <c r="B54" s="167">
        <v>0</v>
      </c>
      <c r="C54" s="188">
        <f>ProductInventory[[#This Row],[Unit]]*INDEX(MatVolPrice[[1 Unit Volume]:[1 Unit Volume]],MATCH(ProductInventory[[#This Row],[Product]],MatVolPrice[[Product Name]:[Product Name]],0))/Space</f>
        <v>0</v>
      </c>
      <c r="G54" s="165"/>
      <c r="H54" s="165"/>
      <c r="I54" s="165"/>
      <c r="J54" s="165"/>
    </row>
    <row r="55" spans="1:12" hidden="1" x14ac:dyDescent="0.3">
      <c r="A55" s="191" t="s">
        <v>91</v>
      </c>
      <c r="B55" s="167">
        <v>0</v>
      </c>
      <c r="C55" s="188">
        <f>ProductInventory[[#This Row],[Unit]]*INDEX(MatVolPrice[[1 Unit Volume]:[1 Unit Volume]],MATCH(ProductInventory[[#This Row],[Product]],MatVolPrice[[Product Name]:[Product Name]],0))/Space</f>
        <v>0</v>
      </c>
      <c r="G55" s="165"/>
      <c r="H55" s="165"/>
      <c r="I55" s="165"/>
      <c r="J55" s="165"/>
    </row>
    <row r="56" spans="1:12" hidden="1" x14ac:dyDescent="0.3">
      <c r="A56" s="191" t="s">
        <v>92</v>
      </c>
      <c r="B56" s="167">
        <v>0</v>
      </c>
      <c r="C56" s="188">
        <f>ProductInventory[[#This Row],[Unit]]*INDEX(MatVolPrice[[1 Unit Volume]:[1 Unit Volume]],MATCH(ProductInventory[[#This Row],[Product]],MatVolPrice[[Product Name]:[Product Name]],0))/Space</f>
        <v>0</v>
      </c>
      <c r="G56" s="165"/>
      <c r="H56" s="165"/>
      <c r="I56" s="165"/>
      <c r="J56" s="165"/>
    </row>
    <row r="57" spans="1:12" hidden="1" x14ac:dyDescent="0.3">
      <c r="A57" s="191" t="s">
        <v>93</v>
      </c>
      <c r="B57" s="167">
        <v>0</v>
      </c>
      <c r="C57" s="188">
        <f>ProductInventory[[#This Row],[Unit]]*INDEX(MatVolPrice[[1 Unit Volume]:[1 Unit Volume]],MATCH(ProductInventory[[#This Row],[Product]],MatVolPrice[[Product Name]:[Product Name]],0))/Space</f>
        <v>0</v>
      </c>
      <c r="G57" s="165"/>
      <c r="H57" s="165"/>
      <c r="I57" s="165"/>
      <c r="J57" s="165"/>
    </row>
    <row r="58" spans="1:12" x14ac:dyDescent="0.3">
      <c r="A58" s="191" t="s">
        <v>94</v>
      </c>
      <c r="B58" s="167">
        <v>9000</v>
      </c>
      <c r="C58" s="188">
        <f>ProductInventory[[#This Row],[Unit]]*INDEX(MatVolPrice[[1 Unit Volume]:[1 Unit Volume]],MATCH(ProductInventory[[#This Row],[Product]],MatVolPrice[[Product Name]:[Product Name]],0))/Space</f>
        <v>0.12239999999999999</v>
      </c>
    </row>
    <row r="59" spans="1:12" hidden="1" x14ac:dyDescent="0.3">
      <c r="A59" s="200" t="s">
        <v>95</v>
      </c>
      <c r="B59" s="167">
        <v>0</v>
      </c>
      <c r="C59" s="188">
        <f>ProductInventory[[#This Row],[Unit]]*INDEX(MatVolPrice[[1 Unit Volume]:[1 Unit Volume]],MATCH(ProductInventory[[#This Row],[Product]],MatVolPrice[[Product Name]:[Product Name]],0))/Space</f>
        <v>0</v>
      </c>
    </row>
    <row r="61" spans="1:12" x14ac:dyDescent="0.3">
      <c r="A61" s="166" t="s">
        <v>189</v>
      </c>
      <c r="B61" s="166"/>
      <c r="C61" s="260">
        <f>SUM(Mat_Inv[Volume],ProductInventory[Volume])</f>
        <v>0.1474</v>
      </c>
    </row>
    <row r="62" spans="1:12" x14ac:dyDescent="0.3">
      <c r="A62" s="166" t="s">
        <v>177</v>
      </c>
      <c r="B62" s="166"/>
      <c r="C62" s="261">
        <f>1-C61</f>
        <v>0.85260000000000002</v>
      </c>
    </row>
    <row r="66" spans="20:20" x14ac:dyDescent="0.3">
      <c r="T66" s="187"/>
    </row>
  </sheetData>
  <mergeCells count="5">
    <mergeCell ref="A21:E21"/>
    <mergeCell ref="A37:H37"/>
    <mergeCell ref="A43:H43"/>
    <mergeCell ref="A49:C49"/>
    <mergeCell ref="A1:C1"/>
  </mergeCells>
  <conditionalFormatting sqref="G40">
    <cfRule type="dataBar" priority="4">
      <dataBar>
        <cfvo type="num" val="0"/>
        <cfvo type="num" val="$E$40"/>
        <color rgb="FF1D3557"/>
      </dataBar>
      <extLst>
        <ext xmlns:x14="http://schemas.microsoft.com/office/spreadsheetml/2009/9/main" uri="{B025F937-C7B1-47D3-B67F-A62EFF666E3E}">
          <x14:id>{960EA403-EF6C-4090-B384-306F0980D43A}</x14:id>
        </ext>
      </extLst>
    </cfRule>
  </conditionalFormatting>
  <conditionalFormatting sqref="G46">
    <cfRule type="dataBar" priority="3">
      <dataBar>
        <cfvo type="num" val="0"/>
        <cfvo type="num" val="$E$46"/>
        <color rgb="FF1D3557"/>
      </dataBar>
      <extLst>
        <ext xmlns:x14="http://schemas.microsoft.com/office/spreadsheetml/2009/9/main" uri="{B025F937-C7B1-47D3-B67F-A62EFF666E3E}">
          <x14:id>{BFE06E55-4AD8-4ED1-8BC0-FA6A9B9FBD67}</x14:id>
        </ext>
      </extLst>
    </cfRule>
  </conditionalFormatting>
  <dataValidations count="2">
    <dataValidation type="list" allowBlank="1" showInputMessage="1" showErrorMessage="1" sqref="F40 F46">
      <formula1>"Producing,Blocked"</formula1>
    </dataValidation>
    <dataValidation type="list" allowBlank="1" showInputMessage="1" showErrorMessage="1" sqref="A40 A46">
      <formula1>OFFSET($X$25,0,0,$D$35)</formula1>
    </dataValidation>
  </dataValidations>
  <pageMargins left="0.7" right="0.7" top="0.75" bottom="0.75" header="0.3" footer="0.3"/>
  <pageSetup orientation="portrait" horizontalDpi="300" verticalDpi="0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0EA403-EF6C-4090-B384-306F0980D43A}">
            <x14:dataBar minLength="0" maxLength="100">
              <x14:cfvo type="num">
                <xm:f>0</xm:f>
              </x14:cfvo>
              <x14:cfvo type="num">
                <xm:f>$E$40</xm:f>
              </x14:cfvo>
              <x14:negativeFillColor rgb="FFFF0000"/>
              <x14:axisColor rgb="FF000000"/>
            </x14:dataBar>
          </x14:cfRule>
          <xm:sqref>G40</xm:sqref>
        </x14:conditionalFormatting>
        <x14:conditionalFormatting xmlns:xm="http://schemas.microsoft.com/office/excel/2006/main">
          <x14:cfRule type="dataBar" id="{BFE06E55-4AD8-4ED1-8BC0-FA6A9B9FBD67}">
            <x14:dataBar minLength="0" maxLength="100">
              <x14:cfvo type="num">
                <xm:f>0</xm:f>
              </x14:cfvo>
              <x14:cfvo type="num">
                <xm:f>$E$46</xm:f>
              </x14:cfvo>
              <x14:negativeFillColor rgb="FFFF0000"/>
              <x14:axisColor rgb="FF000000"/>
            </x14:dataBar>
          </x14:cfRule>
          <xm:sqref>G46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C49"/>
  <sheetViews>
    <sheetView tabSelected="1" topLeftCell="A34" workbookViewId="0">
      <selection activeCell="F45" sqref="F45"/>
    </sheetView>
  </sheetViews>
  <sheetFormatPr defaultRowHeight="14.4" x14ac:dyDescent="0.3"/>
  <cols>
    <col min="1" max="1" width="16.88671875" bestFit="1" customWidth="1"/>
    <col min="2" max="2" width="11.44140625" bestFit="1" customWidth="1"/>
    <col min="3" max="3" width="15.77734375" bestFit="1" customWidth="1"/>
  </cols>
  <sheetData>
    <row r="3" spans="1:3" x14ac:dyDescent="0.3">
      <c r="A3" t="s">
        <v>141</v>
      </c>
      <c r="B3" t="s">
        <v>172</v>
      </c>
      <c r="C3" t="s">
        <v>56</v>
      </c>
    </row>
    <row r="4" spans="1:3" x14ac:dyDescent="0.3">
      <c r="A4" t="s">
        <v>90</v>
      </c>
      <c r="B4" t="s">
        <v>148</v>
      </c>
      <c r="C4" s="159">
        <v>-352979</v>
      </c>
    </row>
    <row r="5" spans="1:3" x14ac:dyDescent="0.3">
      <c r="A5" t="s">
        <v>90</v>
      </c>
      <c r="B5" t="s">
        <v>143</v>
      </c>
      <c r="C5" s="159">
        <v>-7711200</v>
      </c>
    </row>
    <row r="6" spans="1:3" x14ac:dyDescent="0.3">
      <c r="A6" t="s">
        <v>90</v>
      </c>
      <c r="B6" t="s">
        <v>148</v>
      </c>
      <c r="C6" s="159">
        <v>-352979</v>
      </c>
    </row>
    <row r="7" spans="1:3" x14ac:dyDescent="0.3">
      <c r="A7" t="s">
        <v>90</v>
      </c>
      <c r="B7" t="s">
        <v>143</v>
      </c>
      <c r="C7" s="159">
        <v>-7711200</v>
      </c>
    </row>
    <row r="8" spans="1:3" x14ac:dyDescent="0.3">
      <c r="A8" t="s">
        <v>88</v>
      </c>
      <c r="B8" t="s">
        <v>148</v>
      </c>
      <c r="C8" s="159">
        <v>-472880</v>
      </c>
    </row>
    <row r="9" spans="1:3" x14ac:dyDescent="0.3">
      <c r="A9" t="s">
        <v>88</v>
      </c>
      <c r="B9" t="s">
        <v>143</v>
      </c>
      <c r="C9" s="159">
        <v>-2880000</v>
      </c>
    </row>
    <row r="10" spans="1:3" x14ac:dyDescent="0.3">
      <c r="A10" t="s">
        <v>88</v>
      </c>
      <c r="B10" t="s">
        <v>148</v>
      </c>
      <c r="C10" s="159">
        <v>-472880</v>
      </c>
    </row>
    <row r="11" spans="1:3" x14ac:dyDescent="0.3">
      <c r="A11" t="s">
        <v>88</v>
      </c>
      <c r="B11" t="s">
        <v>143</v>
      </c>
      <c r="C11" s="159">
        <v>-2880000</v>
      </c>
    </row>
    <row r="12" spans="1:3" x14ac:dyDescent="0.3">
      <c r="A12" t="s">
        <v>88</v>
      </c>
      <c r="B12" t="s">
        <v>148</v>
      </c>
      <c r="C12" s="159">
        <v>-361774</v>
      </c>
    </row>
    <row r="13" spans="1:3" x14ac:dyDescent="0.3">
      <c r="A13" t="s">
        <v>88</v>
      </c>
      <c r="B13" t="s">
        <v>143</v>
      </c>
      <c r="C13" s="159">
        <v>-960000</v>
      </c>
    </row>
    <row r="14" spans="1:3" x14ac:dyDescent="0.3">
      <c r="A14" t="s">
        <v>88</v>
      </c>
      <c r="B14" t="s">
        <v>148</v>
      </c>
      <c r="C14" s="159">
        <v>-549377</v>
      </c>
    </row>
    <row r="15" spans="1:3" x14ac:dyDescent="0.3">
      <c r="A15" t="s">
        <v>88</v>
      </c>
      <c r="B15" t="s">
        <v>143</v>
      </c>
      <c r="C15" s="159">
        <v>-4800000</v>
      </c>
    </row>
    <row r="16" spans="1:3" x14ac:dyDescent="0.3">
      <c r="A16" t="s">
        <v>92</v>
      </c>
      <c r="B16" t="s">
        <v>148</v>
      </c>
      <c r="C16" s="159">
        <v>-690496</v>
      </c>
    </row>
    <row r="17" spans="1:3" x14ac:dyDescent="0.3">
      <c r="A17" t="s">
        <v>92</v>
      </c>
      <c r="B17" t="s">
        <v>143</v>
      </c>
      <c r="C17" s="159">
        <v>-11340000</v>
      </c>
    </row>
    <row r="18" spans="1:3" x14ac:dyDescent="0.3">
      <c r="A18" t="s">
        <v>92</v>
      </c>
      <c r="B18" t="s">
        <v>148</v>
      </c>
      <c r="C18" s="159">
        <v>-690496</v>
      </c>
    </row>
    <row r="19" spans="1:3" x14ac:dyDescent="0.3">
      <c r="A19" t="s">
        <v>92</v>
      </c>
      <c r="B19" t="s">
        <v>143</v>
      </c>
      <c r="C19" s="159">
        <v>-11340000</v>
      </c>
    </row>
    <row r="20" spans="1:3" x14ac:dyDescent="0.3">
      <c r="A20" t="s">
        <v>92</v>
      </c>
      <c r="B20" t="s">
        <v>148</v>
      </c>
      <c r="C20" s="159">
        <v>-690496</v>
      </c>
    </row>
    <row r="21" spans="1:3" x14ac:dyDescent="0.3">
      <c r="A21" t="s">
        <v>92</v>
      </c>
      <c r="B21" t="s">
        <v>143</v>
      </c>
      <c r="C21" s="159">
        <v>-11340000</v>
      </c>
    </row>
    <row r="22" spans="1:3" x14ac:dyDescent="0.3">
      <c r="A22" t="s">
        <v>92</v>
      </c>
      <c r="B22" t="s">
        <v>185</v>
      </c>
      <c r="C22" s="159">
        <v>-3472000</v>
      </c>
    </row>
    <row r="23" spans="1:3" x14ac:dyDescent="0.3">
      <c r="A23" t="s">
        <v>94</v>
      </c>
      <c r="B23" t="s">
        <v>185</v>
      </c>
      <c r="C23" s="159">
        <v>-1105000</v>
      </c>
    </row>
    <row r="24" spans="1:3" x14ac:dyDescent="0.3">
      <c r="A24" t="s">
        <v>92</v>
      </c>
      <c r="B24" t="s">
        <v>148</v>
      </c>
      <c r="C24" s="159">
        <v>-690496</v>
      </c>
    </row>
    <row r="25" spans="1:3" x14ac:dyDescent="0.3">
      <c r="A25" t="s">
        <v>92</v>
      </c>
      <c r="B25" t="s">
        <v>143</v>
      </c>
      <c r="C25" s="159">
        <v>-11340000</v>
      </c>
    </row>
    <row r="26" spans="1:3" x14ac:dyDescent="0.3">
      <c r="A26" t="s">
        <v>92</v>
      </c>
      <c r="B26" t="s">
        <v>185</v>
      </c>
      <c r="C26" s="159">
        <v>-1876000</v>
      </c>
    </row>
    <row r="27" spans="1:3" x14ac:dyDescent="0.3">
      <c r="A27" t="s">
        <v>92</v>
      </c>
      <c r="B27" t="s">
        <v>185</v>
      </c>
      <c r="C27" s="159">
        <v>-1876000</v>
      </c>
    </row>
    <row r="28" spans="1:3" x14ac:dyDescent="0.3">
      <c r="A28" t="s">
        <v>92</v>
      </c>
      <c r="B28" t="s">
        <v>148</v>
      </c>
      <c r="C28" s="159">
        <v>-798485</v>
      </c>
    </row>
    <row r="29" spans="1:3" x14ac:dyDescent="0.3">
      <c r="A29" t="s">
        <v>92</v>
      </c>
      <c r="B29" t="s">
        <v>143</v>
      </c>
      <c r="C29" s="159">
        <v>-17010000</v>
      </c>
    </row>
    <row r="30" spans="1:3" x14ac:dyDescent="0.3">
      <c r="A30" t="s">
        <v>92</v>
      </c>
      <c r="B30" t="s">
        <v>185</v>
      </c>
      <c r="C30" s="159">
        <v>-2560000</v>
      </c>
    </row>
    <row r="31" spans="1:3" x14ac:dyDescent="0.3">
      <c r="A31" t="s">
        <v>92</v>
      </c>
      <c r="B31" t="s">
        <v>185</v>
      </c>
      <c r="C31" s="159">
        <v>-2788000</v>
      </c>
    </row>
    <row r="32" spans="1:3" x14ac:dyDescent="0.3">
      <c r="A32" t="s">
        <v>88</v>
      </c>
      <c r="B32" t="s">
        <v>148</v>
      </c>
      <c r="C32" s="159">
        <v>-549377</v>
      </c>
    </row>
    <row r="33" spans="1:3" x14ac:dyDescent="0.3">
      <c r="A33" t="s">
        <v>88</v>
      </c>
      <c r="B33" t="s">
        <v>143</v>
      </c>
      <c r="C33" s="159">
        <v>-4800000</v>
      </c>
    </row>
    <row r="34" spans="1:3" x14ac:dyDescent="0.3">
      <c r="A34" t="s">
        <v>88</v>
      </c>
      <c r="B34" t="s">
        <v>185</v>
      </c>
      <c r="C34" s="159">
        <v>-550000</v>
      </c>
    </row>
    <row r="35" spans="1:3" x14ac:dyDescent="0.3">
      <c r="A35" t="s">
        <v>88</v>
      </c>
      <c r="B35" t="s">
        <v>148</v>
      </c>
      <c r="C35" s="159">
        <v>-549377</v>
      </c>
    </row>
    <row r="36" spans="1:3" x14ac:dyDescent="0.3">
      <c r="A36" t="s">
        <v>88</v>
      </c>
      <c r="B36" t="s">
        <v>143</v>
      </c>
      <c r="C36" s="159">
        <v>-4800000</v>
      </c>
    </row>
    <row r="37" spans="1:3" x14ac:dyDescent="0.3">
      <c r="A37" t="s">
        <v>91</v>
      </c>
      <c r="B37" t="s">
        <v>185</v>
      </c>
      <c r="C37" s="159">
        <v>-461000</v>
      </c>
    </row>
    <row r="38" spans="1:3" x14ac:dyDescent="0.3">
      <c r="A38" t="s">
        <v>91</v>
      </c>
      <c r="B38" t="s">
        <v>185</v>
      </c>
      <c r="C38" s="159">
        <v>-287000</v>
      </c>
    </row>
    <row r="39" spans="1:3" x14ac:dyDescent="0.3">
      <c r="A39" t="s">
        <v>88</v>
      </c>
      <c r="B39" t="s">
        <v>148</v>
      </c>
      <c r="C39" s="159">
        <v>-549377</v>
      </c>
    </row>
    <row r="40" spans="1:3" x14ac:dyDescent="0.3">
      <c r="A40" t="s">
        <v>88</v>
      </c>
      <c r="B40" t="s">
        <v>143</v>
      </c>
      <c r="C40" s="159">
        <v>-4800000</v>
      </c>
    </row>
    <row r="41" spans="1:3" x14ac:dyDescent="0.3">
      <c r="A41" t="s">
        <v>94</v>
      </c>
      <c r="B41" t="s">
        <v>185</v>
      </c>
      <c r="C41" s="159">
        <v>-722500</v>
      </c>
    </row>
    <row r="42" spans="1:3" x14ac:dyDescent="0.3">
      <c r="A42" t="s">
        <v>94</v>
      </c>
      <c r="B42" t="s">
        <v>185</v>
      </c>
      <c r="C42" s="159">
        <v>-722500</v>
      </c>
    </row>
    <row r="43" spans="1:3" x14ac:dyDescent="0.3">
      <c r="A43" t="s">
        <v>92</v>
      </c>
      <c r="B43" t="s">
        <v>148</v>
      </c>
      <c r="C43" s="159">
        <v>-690496</v>
      </c>
    </row>
    <row r="44" spans="1:3" x14ac:dyDescent="0.3">
      <c r="A44" t="s">
        <v>92</v>
      </c>
      <c r="B44" t="s">
        <v>143</v>
      </c>
      <c r="C44" s="159">
        <v>-11340000</v>
      </c>
    </row>
    <row r="45" spans="1:3" x14ac:dyDescent="0.3">
      <c r="A45" t="s">
        <v>94</v>
      </c>
      <c r="B45" t="s">
        <v>185</v>
      </c>
      <c r="C45" s="159">
        <v>-493000</v>
      </c>
    </row>
    <row r="46" spans="1:3" x14ac:dyDescent="0.3">
      <c r="A46" t="s">
        <v>92</v>
      </c>
      <c r="B46" t="s">
        <v>185</v>
      </c>
      <c r="C46" s="159">
        <v>-3320000</v>
      </c>
    </row>
    <row r="47" spans="1:3" x14ac:dyDescent="0.3">
      <c r="A47" t="s">
        <v>92</v>
      </c>
      <c r="B47" t="s">
        <v>196</v>
      </c>
      <c r="C47" s="159">
        <v>39337000</v>
      </c>
    </row>
    <row r="48" spans="1:3" x14ac:dyDescent="0.3">
      <c r="A48" t="s">
        <v>92</v>
      </c>
      <c r="B48" t="s">
        <v>196</v>
      </c>
      <c r="C48" s="159">
        <v>11115000</v>
      </c>
    </row>
    <row r="49" spans="1:3" x14ac:dyDescent="0.3">
      <c r="A49" t="s">
        <v>175</v>
      </c>
      <c r="C49" s="262">
        <f>SUBTOTAL(109,Costs[Cost])</f>
        <v>-93295365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26</vt:i4>
      </vt:variant>
    </vt:vector>
  </HeadingPairs>
  <TitlesOfParts>
    <vt:vector size="35" baseType="lpstr">
      <vt:lpstr>Products</vt:lpstr>
      <vt:lpstr>Products' BOM</vt:lpstr>
      <vt:lpstr>Transportation</vt:lpstr>
      <vt:lpstr>Buildings</vt:lpstr>
      <vt:lpstr>Recycling</vt:lpstr>
      <vt:lpstr>Production Calc</vt:lpstr>
      <vt:lpstr>Shipping</vt:lpstr>
      <vt:lpstr>Inventory</vt:lpstr>
      <vt:lpstr>Cost</vt:lpstr>
      <vt:lpstr>aluminium</vt:lpstr>
      <vt:lpstr>camera</vt:lpstr>
      <vt:lpstr>chips</vt:lpstr>
      <vt:lpstr>cobalt</vt:lpstr>
      <vt:lpstr>copper</vt:lpstr>
      <vt:lpstr>displaywithkeypad</vt:lpstr>
      <vt:lpstr>glass</vt:lpstr>
      <vt:lpstr>lithium</vt:lpstr>
      <vt:lpstr>microphone</vt:lpstr>
      <vt:lpstr>modem2g</vt:lpstr>
      <vt:lpstr>modem3g</vt:lpstr>
      <vt:lpstr>phonebattery</vt:lpstr>
      <vt:lpstr>phoneframe</vt:lpstr>
      <vt:lpstr>phoneframekeypad</vt:lpstr>
      <vt:lpstr>plastic</vt:lpstr>
      <vt:lpstr>ports</vt:lpstr>
      <vt:lpstr>processors</vt:lpstr>
      <vt:lpstr>Product</vt:lpstr>
      <vt:lpstr>Shipping_mode</vt:lpstr>
      <vt:lpstr>silicon</vt:lpstr>
      <vt:lpstr>Space</vt:lpstr>
      <vt:lpstr>speaker</vt:lpstr>
      <vt:lpstr>State</vt:lpstr>
      <vt:lpstr>touchdisplay</vt:lpstr>
      <vt:lpstr>Unit</vt:lpstr>
      <vt:lpstr>VibrationMotor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Seyed Mohsen Hosseini (IRN)</dc:creator>
  <cp:lastModifiedBy>N.T</cp:lastModifiedBy>
  <dcterms:created xsi:type="dcterms:W3CDTF">2023-05-08T19:55:06Z</dcterms:created>
  <dcterms:modified xsi:type="dcterms:W3CDTF">2023-06-18T14:13:44Z</dcterms:modified>
</cp:coreProperties>
</file>